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/>
  </mc:AlternateContent>
  <xr:revisionPtr revIDLastSave="0" documentId="11_103BCA53EFCFFCDE6D0E87C8599144085883B63D" xr6:coauthVersionLast="47" xr6:coauthVersionMax="47" xr10:uidLastSave="{00000000-0000-0000-0000-000000000000}"/>
  <bookViews>
    <workbookView xWindow="0" yWindow="600" windowWidth="27060" windowHeight="14120" activeTab="4" xr2:uid="{00000000-000D-0000-FFFF-FFFF00000000}"/>
  </bookViews>
  <sheets>
    <sheet name="Source data" sheetId="1" r:id="rId1"/>
    <sheet name="All properties" sheetId="2" r:id="rId2"/>
    <sheet name="Exceptions" sheetId="3" r:id="rId3"/>
    <sheet name="State totals" sheetId="4" r:id="rId4"/>
    <sheet name="Checks" sheetId="5" r:id="rId5"/>
    <sheet name="Researc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2" i="5"/>
  <c r="B9" i="5"/>
  <c r="D9" i="5" s="1"/>
  <c r="B8" i="5"/>
  <c r="D8" i="5" s="1"/>
  <c r="D7" i="5"/>
  <c r="B7" i="5"/>
  <c r="D6" i="5"/>
  <c r="B6" i="5"/>
  <c r="B5" i="5"/>
  <c r="D5" i="5" s="1"/>
  <c r="F11" i="3"/>
  <c r="E9" i="3"/>
  <c r="E8" i="3"/>
  <c r="G8" i="3" s="1"/>
  <c r="E7" i="3"/>
  <c r="E6" i="3"/>
  <c r="E5" i="3"/>
  <c r="F20" i="2"/>
  <c r="E17" i="2"/>
  <c r="E16" i="2"/>
  <c r="F16" i="2" s="1"/>
  <c r="E15" i="2"/>
  <c r="E14" i="2"/>
  <c r="G14" i="2" s="1"/>
  <c r="E13" i="2"/>
  <c r="G13" i="2" s="1"/>
  <c r="E12" i="2"/>
  <c r="F12" i="2" s="1"/>
  <c r="G11" i="2"/>
  <c r="E11" i="2"/>
  <c r="F11" i="2" s="1"/>
  <c r="E10" i="2"/>
  <c r="G10" i="2" s="1"/>
  <c r="E9" i="2"/>
  <c r="G9" i="2" s="1"/>
  <c r="F8" i="2"/>
  <c r="E8" i="2"/>
  <c r="E7" i="2"/>
  <c r="G7" i="2" s="1"/>
  <c r="E6" i="2"/>
  <c r="F6" i="2" s="1"/>
  <c r="E5" i="2"/>
  <c r="G7" i="3" s="1"/>
  <c r="I32" i="1"/>
  <c r="I31" i="1"/>
  <c r="B11" i="5" s="1"/>
  <c r="I30" i="1"/>
  <c r="B10" i="5" s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G8" i="2" s="1"/>
  <c r="J15" i="1"/>
  <c r="J14" i="1"/>
  <c r="G12" i="2" s="1"/>
  <c r="J13" i="1"/>
  <c r="G15" i="2" s="1"/>
  <c r="J12" i="1"/>
  <c r="J11" i="1"/>
  <c r="J10" i="1"/>
  <c r="J9" i="1"/>
  <c r="J8" i="1"/>
  <c r="J7" i="1"/>
  <c r="J6" i="1"/>
  <c r="J5" i="1"/>
  <c r="B14" i="5" s="1"/>
  <c r="D14" i="5" s="1"/>
  <c r="D11" i="4"/>
  <c r="C11" i="4"/>
  <c r="B11" i="4"/>
  <c r="C8" i="4"/>
  <c r="C9" i="4" s="1"/>
  <c r="B8" i="4"/>
  <c r="B9" i="4" s="1"/>
  <c r="C7" i="4"/>
  <c r="B7" i="4"/>
  <c r="D7" i="4" s="1"/>
  <c r="C6" i="4"/>
  <c r="B6" i="4"/>
  <c r="D6" i="4" s="1"/>
  <c r="C5" i="4"/>
  <c r="D5" i="4" s="1"/>
  <c r="B5" i="4"/>
  <c r="I11" i="2" l="1"/>
  <c r="H11" i="2"/>
  <c r="G6" i="3"/>
  <c r="H12" i="2"/>
  <c r="I12" i="2"/>
  <c r="I8" i="2"/>
  <c r="F17" i="2"/>
  <c r="F14" i="2"/>
  <c r="G17" i="2"/>
  <c r="G5" i="2"/>
  <c r="H8" i="2"/>
  <c r="F5" i="2"/>
  <c r="G6" i="2"/>
  <c r="G5" i="3" s="1"/>
  <c r="H8" i="3"/>
  <c r="F13" i="2"/>
  <c r="G16" i="2"/>
  <c r="H16" i="2" s="1"/>
  <c r="F7" i="3"/>
  <c r="F15" i="2"/>
  <c r="F9" i="2"/>
  <c r="F8" i="3"/>
  <c r="I8" i="3"/>
  <c r="F10" i="2"/>
  <c r="F9" i="3"/>
  <c r="F5" i="3"/>
  <c r="D8" i="4"/>
  <c r="D9" i="4" s="1"/>
  <c r="F7" i="2"/>
  <c r="F6" i="3" s="1"/>
  <c r="G9" i="3"/>
  <c r="I16" i="2" l="1"/>
  <c r="H5" i="2"/>
  <c r="F19" i="2"/>
  <c r="C10" i="5" s="1"/>
  <c r="D10" i="5" s="1"/>
  <c r="I5" i="2"/>
  <c r="I6" i="2"/>
  <c r="I5" i="3" s="1"/>
  <c r="I13" i="2"/>
  <c r="H13" i="2"/>
  <c r="C18" i="4" s="1"/>
  <c r="H6" i="2"/>
  <c r="H5" i="3" s="1"/>
  <c r="H10" i="2"/>
  <c r="H7" i="3" s="1"/>
  <c r="I10" i="2"/>
  <c r="I7" i="3" s="1"/>
  <c r="C13" i="4"/>
  <c r="I17" i="2"/>
  <c r="H17" i="2"/>
  <c r="G19" i="2"/>
  <c r="C11" i="5" s="1"/>
  <c r="D11" i="5" s="1"/>
  <c r="I14" i="2"/>
  <c r="I9" i="3" s="1"/>
  <c r="H14" i="2"/>
  <c r="H9" i="3" s="1"/>
  <c r="I7" i="2"/>
  <c r="I6" i="3" s="1"/>
  <c r="H7" i="2"/>
  <c r="H6" i="3" s="1"/>
  <c r="H9" i="2"/>
  <c r="I9" i="2"/>
  <c r="I15" i="2"/>
  <c r="C14" i="4" s="1"/>
  <c r="H15" i="2"/>
  <c r="C21" i="4" l="1"/>
  <c r="C12" i="4"/>
  <c r="C15" i="4"/>
  <c r="B22" i="4"/>
  <c r="B14" i="4"/>
  <c r="D14" i="4" s="1"/>
  <c r="B13" i="4"/>
  <c r="D13" i="4" s="1"/>
  <c r="B15" i="4"/>
  <c r="D15" i="4" s="1"/>
  <c r="B12" i="4"/>
  <c r="D12" i="4" s="1"/>
  <c r="C12" i="5" s="1"/>
  <c r="D12" i="5" s="1"/>
  <c r="B21" i="4"/>
  <c r="D21" i="4" s="1"/>
  <c r="F12" i="3"/>
  <c r="C13" i="5" s="1"/>
  <c r="D13" i="5" s="1"/>
  <c r="C17" i="4"/>
  <c r="B18" i="4"/>
  <c r="D18" i="4" s="1"/>
  <c r="H19" i="2"/>
  <c r="B15" i="5" s="1"/>
  <c r="B17" i="4"/>
  <c r="C22" i="4"/>
  <c r="C19" i="4" l="1"/>
  <c r="C23" i="4" s="1"/>
  <c r="C24" i="4" s="1"/>
  <c r="C20" i="4"/>
  <c r="D22" i="4"/>
  <c r="B20" i="4"/>
  <c r="B19" i="4"/>
  <c r="B23" i="4" s="1"/>
  <c r="B24" i="4" s="1"/>
  <c r="D17" i="4"/>
  <c r="D20" i="4" l="1"/>
  <c r="D19" i="4"/>
  <c r="C15" i="5" l="1"/>
  <c r="D15" i="5" s="1"/>
  <c r="D23" i="4"/>
  <c r="D24" i="4" s="1"/>
  <c r="B16" i="5" s="1"/>
  <c r="D16" i="5" s="1"/>
</calcChain>
</file>

<file path=xl/sharedStrings.xml><?xml version="1.0" encoding="utf-8"?>
<sst xmlns="http://schemas.openxmlformats.org/spreadsheetml/2006/main" count="381" uniqueCount="158">
  <si>
    <t>State totals and the bridge</t>
  </si>
  <si>
    <t>FICTIONAL TRAINING DATA - NOT TAX ADVICE. Matched net = positive plus negative differences. Matched gross = positive minus negative, the sum of absolute differences. Bridge = matched net + bill-only - book-only, which must equal Bill total minus Book total.</t>
  </si>
  <si>
    <t>Measure</t>
  </si>
  <si>
    <t>OH</t>
  </si>
  <si>
    <t>TX</t>
  </si>
  <si>
    <t>Total</t>
  </si>
  <si>
    <t>How it is calculated</t>
  </si>
  <si>
    <t>Book rows</t>
  </si>
  <si>
    <t>Count of Book detail rows in Source data</t>
  </si>
  <si>
    <t>Book total USD</t>
  </si>
  <si>
    <t>Sum of Book amounts in Source data</t>
  </si>
  <si>
    <t>Bill rows</t>
  </si>
  <si>
    <t>Count of Bill detail rows in Source data</t>
  </si>
  <si>
    <t>Bill total USD</t>
  </si>
  <si>
    <t>Sum of Bill amounts in Source data</t>
  </si>
  <si>
    <t>Full difference, Bill minus Book</t>
  </si>
  <si>
    <t>Bill total minus Book total</t>
  </si>
  <si>
    <t>Properties (keys)</t>
  </si>
  <si>
    <t>Rows in All properties</t>
  </si>
  <si>
    <t>Exact matches</t>
  </si>
  <si>
    <t>Both sides present, same amount</t>
  </si>
  <si>
    <t>Amount differences</t>
  </si>
  <si>
    <t>Both sides present, different amount</t>
  </si>
  <si>
    <t>Book-only items</t>
  </si>
  <si>
    <t>In the book, no bill</t>
  </si>
  <si>
    <t>Bill-only items</t>
  </si>
  <si>
    <t>On a bill, not in the book</t>
  </si>
  <si>
    <t>Positive matched differences</t>
  </si>
  <si>
    <t>Bill above Book, matched pairs only</t>
  </si>
  <si>
    <t>Negative matched differences</t>
  </si>
  <si>
    <t>Bill below Book, matched pairs only</t>
  </si>
  <si>
    <t>Matched net difference</t>
  </si>
  <si>
    <t>Positive plus negative</t>
  </si>
  <si>
    <t>Matched gross difference</t>
  </si>
  <si>
    <t>Positive minus negative = sum of absolute differences</t>
  </si>
  <si>
    <t>Book-only USD</t>
  </si>
  <si>
    <t>Book amounts with no bill</t>
  </si>
  <si>
    <t>Bill-only USD</t>
  </si>
  <si>
    <t>Bill amounts with no book row</t>
  </si>
  <si>
    <t>Bridge</t>
  </si>
  <si>
    <t>Matched net + Bill-only - Book-only</t>
  </si>
  <si>
    <t>Bridge minus full difference</t>
  </si>
  <si>
    <t>Must be 0 for the bridge to prove the full difference</t>
  </si>
  <si>
    <t>Source data: detail rows from the four input files</t>
  </si>
  <si>
    <t>FICTIONAL TRAINING DATA - NOT TAX ADVICE. Source total rows were not copied. Amounts are values copied from the files; the file, sheet and row say where each came from.</t>
  </si>
  <si>
    <t>Source file</t>
  </si>
  <si>
    <t>Sheet</t>
  </si>
  <si>
    <t>Source row</t>
  </si>
  <si>
    <t>Side</t>
  </si>
  <si>
    <t>State</t>
  </si>
  <si>
    <t>Tax year</t>
  </si>
  <si>
    <t>Property ID</t>
  </si>
  <si>
    <t>Property name</t>
  </si>
  <si>
    <t>Amount USD</t>
  </si>
  <si>
    <t>Key</t>
  </si>
  <si>
    <t>OH-book.xlsx</t>
  </si>
  <si>
    <t>Book</t>
  </si>
  <si>
    <t>2026</t>
  </si>
  <si>
    <t>010001</t>
  </si>
  <si>
    <t>OH Training Property 1</t>
  </si>
  <si>
    <t>010002</t>
  </si>
  <si>
    <t>OH Training Property 2</t>
  </si>
  <si>
    <t>010003</t>
  </si>
  <si>
    <t>OH Training Property 3</t>
  </si>
  <si>
    <t>010004</t>
  </si>
  <si>
    <t>OH Training Property 4</t>
  </si>
  <si>
    <t>010005</t>
  </si>
  <si>
    <t>OH Training Property 5</t>
  </si>
  <si>
    <t>010006</t>
  </si>
  <si>
    <t>OH Training Property 6</t>
  </si>
  <si>
    <t>OH-bills.xlsx</t>
  </si>
  <si>
    <t>Bills</t>
  </si>
  <si>
    <t>Bill</t>
  </si>
  <si>
    <t>010007</t>
  </si>
  <si>
    <t>OH Training Property 7</t>
  </si>
  <si>
    <t>TX-book.xlsx</t>
  </si>
  <si>
    <t>020001</t>
  </si>
  <si>
    <t>TX Training Property 1</t>
  </si>
  <si>
    <t>020002</t>
  </si>
  <si>
    <t>TX Training Property 2</t>
  </si>
  <si>
    <t>020003</t>
  </si>
  <si>
    <t>TX Training Property 3</t>
  </si>
  <si>
    <t>020004</t>
  </si>
  <si>
    <t>TX Training Property 4</t>
  </si>
  <si>
    <t>020005</t>
  </si>
  <si>
    <t>TX Training Property 5</t>
  </si>
  <si>
    <t>020006</t>
  </si>
  <si>
    <t>TX Training Property 6</t>
  </si>
  <si>
    <t>TX-bills.xlsx</t>
  </si>
  <si>
    <t>Combined Book USD</t>
  </si>
  <si>
    <t>Combined Bill USD</t>
  </si>
  <si>
    <t>Detail rows</t>
  </si>
  <si>
    <t>All properties: one row per State + Tax year + Property ID</t>
  </si>
  <si>
    <t>FICTIONAL TRAINING DATA - NOT TAX ADVICE. A blank Book or Bill cell means no record on that side. Blank is not zero. Bill minus Book is shown only when both sides exist.</t>
  </si>
  <si>
    <t>Book USD</t>
  </si>
  <si>
    <t>Bill USD</t>
  </si>
  <si>
    <t>Bill minus Book</t>
  </si>
  <si>
    <t>Status</t>
  </si>
  <si>
    <t>Totals</t>
  </si>
  <si>
    <t>Rows</t>
  </si>
  <si>
    <t>Exceptions: every item that is not an exact match</t>
  </si>
  <si>
    <t>FICTIONAL TRAINING DATA - NOT TAX ADVICE. Amounts and status are pulled from All properties. No cause is supplied for any difference; causes are not in the inputs.</t>
  </si>
  <si>
    <t>Source evidence</t>
  </si>
  <si>
    <t>OH-book.xlsx Book row 6; OH-bills.xlsx Bills row 6</t>
  </si>
  <si>
    <t>OH-book.xlsx Book row 7; OH-bills.xlsx Bills row 7</t>
  </si>
  <si>
    <t>OH-book.xlsx Book row 10</t>
  </si>
  <si>
    <t>OH-bills.xlsx Bills row 10</t>
  </si>
  <si>
    <t>TX-book.xlsx Book row 7; TX-bills.xlsx Bills row 7</t>
  </si>
  <si>
    <t>Exception rows</t>
  </si>
  <si>
    <t>Expected, from All properties</t>
  </si>
  <si>
    <t>Checks: every row should say OK</t>
  </si>
  <si>
    <t>FICTIONAL TRAINING DATA - NOT TAX ADVICE. Blue values were read from the input files (detail rows 5 to 10 of each). If a check says CHECK, look at the two values beside it.</t>
  </si>
  <si>
    <t>Check</t>
  </si>
  <si>
    <t>This workbook</t>
  </si>
  <si>
    <t>Expected</t>
  </si>
  <si>
    <t>Result</t>
  </si>
  <si>
    <t>What it proves</t>
  </si>
  <si>
    <t>Detail rows copied from the four files</t>
  </si>
  <si>
    <t>Only detail rows were copied; the four Source total rows were excluded</t>
  </si>
  <si>
    <t>OH-book.xlsx total ties to its source</t>
  </si>
  <si>
    <t>Rows 5 to 10 of OH-book.xlsx add to the file's own Source total</t>
  </si>
  <si>
    <t>OH-bills.xlsx total ties to its source</t>
  </si>
  <si>
    <t>Rows 5 to 10 of OH-bills.xlsx add to the file's own Source total</t>
  </si>
  <si>
    <t>TX-book.xlsx total ties to its source</t>
  </si>
  <si>
    <t>Rows 5 to 10 of TX-book.xlsx add to the file's own Source total</t>
  </si>
  <si>
    <t>TX-bills.xlsx total ties to its source</t>
  </si>
  <si>
    <t>Rows 5 to 10 of TX-bills.xlsx add to the file's own Source total</t>
  </si>
  <si>
    <t>Book total: Source data vs All properties</t>
  </si>
  <si>
    <t>Every Book amount landed on exactly one property row</t>
  </si>
  <si>
    <t>Bill total: Source data vs All properties</t>
  </si>
  <si>
    <t>Every Bill amount landed on exactly one property row</t>
  </si>
  <si>
    <t>Property rows = exact + differences + book-only + bill-only</t>
  </si>
  <si>
    <t>Every property has exactly one status</t>
  </si>
  <si>
    <t>Exceptions listed = non-exact rows</t>
  </si>
  <si>
    <t>The Exceptions sheet is complete</t>
  </si>
  <si>
    <t>Duplicate keys within a side</t>
  </si>
  <si>
    <t>Each key appears at most once per side, so matching is one-to-one</t>
  </si>
  <si>
    <t>Matched net: All properties vs State totals</t>
  </si>
  <si>
    <t>Net difference agrees on both sheets</t>
  </si>
  <si>
    <t>Matched net + bill-only - book-only explains the whole Bill minus Book difference</t>
  </si>
  <si>
    <t>Research findings: Travis County, TX, business personal property, tax year 2026</t>
  </si>
  <si>
    <t>FICTIONAL TRAINING CONTEXT, not tax advice. Research is separate from the financial sheets and changes no amount. Official sources only. Every finding is Needs review.</t>
  </si>
  <si>
    <t>Topic</t>
  </si>
  <si>
    <t>Short finding</t>
  </si>
  <si>
    <t>Official source</t>
  </si>
  <si>
    <t>Review status</t>
  </si>
  <si>
    <t>Checked date</t>
  </si>
  <si>
    <t>R1. Rendition deadline stated by the sources</t>
  </si>
  <si>
    <t>TCAD's page states an April 15 rendition deadline. Form 50-144 (rev. 03-26) states due after January 1 and by April 15, extendable to May 15 on written request plus 15 days for good cause. Whether a property must render is not decided here.</t>
  </si>
  <si>
    <t>https://traviscad.org/renditions
https://comptroller.texas.gov/forms/50-144.pdf</t>
  </si>
  <si>
    <t>Needs review</t>
  </si>
  <si>
    <t>R2. Where to file</t>
  </si>
  <si>
    <t>File with TCAD, not the Comptroller: online portal, mail to PO Box 141864, Austin, TX 78714-1864, or drop box at 850 E Anderson Ln, Austin, TX 78752. The portal link reads like a staging address; confirm the live portal before use.</t>
  </si>
  <si>
    <t>https://traviscad.org/renditions
https://traviscad.org/faq_category/bpp/</t>
  </si>
  <si>
    <t>R3. $125,000 exemption and election not to render (unresolved)</t>
  </si>
  <si>
    <t>HB 9 (effective 2026-01-01 only if voters approved HJR 1) exempts $125,000 per location and adds Tax Code 22.01(j-1) to (j-3). An election not to render takes effect the tax year after it is filed, so a 2026 election does not by itself remove a 2026 obligation. Applicability in Travis County is unresolved.</t>
  </si>
  <si>
    <t>https://capitol.texas.gov/tlodocs/89R/billtext/html/HB00009F.htm
https://capitol.texas.gov/BillLookup/History.aspx?LegSess=89R&amp;Bill=HB9</t>
  </si>
  <si>
    <t>Unresolved: whether the exemption and election apply in Travis County for 2026; the election takes effect the tax year after it is filed (Tax Code 22.01(j-3)); leased or regulated property may follow different exemption or deadline rules, not researched. Source sections, dates and other metadata: outputs/research-note.md.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</si>
</sst>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-\$#,##0;\$0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rgb="FF0000FF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/>
    <xf numFmtId="49" fontId="4" fillId="0" borderId="0" xfId="0" applyNumberFormat="1" applyFont="1"/>
    <xf numFmtId="49" fontId="4" fillId="0" borderId="0" xfId="0" applyNumberFormat="1" applyFont="1" applyAlignment="1">
      <alignment horizontal="left"/>
    </xf>
    <xf numFmtId="164" fontId="4" fillId="0" borderId="0" xfId="0" applyNumberFormat="1" applyFont="1"/>
    <xf numFmtId="0" fontId="3" fillId="0" borderId="0" xfId="0" applyFont="1"/>
    <xf numFmtId="164" fontId="0" fillId="0" borderId="0" xfId="0" applyNumberFormat="1"/>
    <xf numFmtId="0" fontId="5" fillId="0" borderId="0" xfId="0" applyFont="1"/>
    <xf numFmtId="164" fontId="3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0" fillId="0" borderId="0" xfId="0" applyAlignment="1">
      <alignment vertical="top" wrapText="1"/>
    </xf>
    <xf numFmtId="0" fontId="8" fillId="3" borderId="0" xfId="0" applyFon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/>
  </sheetViews>
  <sheetFormatPr baseColWidth="10" defaultColWidth="8.83203125" defaultRowHeight="15" x14ac:dyDescent="0.2"/>
  <cols>
    <col min="1" max="1" width="14" customWidth="1"/>
    <col min="2" max="2" width="8" customWidth="1"/>
    <col min="3" max="3" width="10" customWidth="1"/>
    <col min="4" max="5" width="7" customWidth="1"/>
    <col min="6" max="6" width="9" customWidth="1"/>
    <col min="7" max="7" width="12" customWidth="1"/>
    <col min="8" max="8" width="24" customWidth="1"/>
    <col min="9" max="9" width="12" customWidth="1"/>
    <col min="10" max="10" width="20" customWidth="1"/>
  </cols>
  <sheetData>
    <row r="1" spans="1:10" ht="16" customHeight="1" x14ac:dyDescent="0.2">
      <c r="A1" s="1" t="s">
        <v>43</v>
      </c>
    </row>
    <row r="2" spans="1:10" x14ac:dyDescent="0.2">
      <c r="A2" s="2" t="s">
        <v>44</v>
      </c>
    </row>
    <row r="4" spans="1:10" ht="30" customHeight="1" x14ac:dyDescent="0.2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</row>
    <row r="5" spans="1:10" x14ac:dyDescent="0.2">
      <c r="A5" s="4" t="s">
        <v>55</v>
      </c>
      <c r="B5" s="4" t="s">
        <v>56</v>
      </c>
      <c r="C5" s="4">
        <v>5</v>
      </c>
      <c r="D5" s="4" t="s">
        <v>56</v>
      </c>
      <c r="E5" s="4" t="s">
        <v>3</v>
      </c>
      <c r="F5" s="5" t="s">
        <v>57</v>
      </c>
      <c r="G5" s="6" t="s">
        <v>58</v>
      </c>
      <c r="H5" s="4" t="s">
        <v>59</v>
      </c>
      <c r="I5" s="7">
        <v>12000</v>
      </c>
      <c r="J5" s="4" t="str">
        <f t="shared" ref="J5:J28" si="0">E5&amp;"|"&amp;F5&amp;"|"&amp;G5</f>
        <v>OH|2026|010001</v>
      </c>
    </row>
    <row r="6" spans="1:10" x14ac:dyDescent="0.2">
      <c r="A6" s="4" t="s">
        <v>55</v>
      </c>
      <c r="B6" s="4" t="s">
        <v>56</v>
      </c>
      <c r="C6" s="4">
        <v>6</v>
      </c>
      <c r="D6" s="4" t="s">
        <v>56</v>
      </c>
      <c r="E6" s="4" t="s">
        <v>3</v>
      </c>
      <c r="F6" s="5" t="s">
        <v>57</v>
      </c>
      <c r="G6" s="6" t="s">
        <v>60</v>
      </c>
      <c r="H6" s="4" t="s">
        <v>61</v>
      </c>
      <c r="I6" s="7">
        <v>18000</v>
      </c>
      <c r="J6" s="4" t="str">
        <f t="shared" si="0"/>
        <v>OH|2026|010002</v>
      </c>
    </row>
    <row r="7" spans="1:10" x14ac:dyDescent="0.2">
      <c r="A7" s="4" t="s">
        <v>55</v>
      </c>
      <c r="B7" s="4" t="s">
        <v>56</v>
      </c>
      <c r="C7" s="4">
        <v>7</v>
      </c>
      <c r="D7" s="4" t="s">
        <v>56</v>
      </c>
      <c r="E7" s="4" t="s">
        <v>3</v>
      </c>
      <c r="F7" s="5" t="s">
        <v>57</v>
      </c>
      <c r="G7" s="6" t="s">
        <v>62</v>
      </c>
      <c r="H7" s="4" t="s">
        <v>63</v>
      </c>
      <c r="I7" s="7">
        <v>9000</v>
      </c>
      <c r="J7" s="4" t="str">
        <f t="shared" si="0"/>
        <v>OH|2026|010003</v>
      </c>
    </row>
    <row r="8" spans="1:10" x14ac:dyDescent="0.2">
      <c r="A8" s="4" t="s">
        <v>55</v>
      </c>
      <c r="B8" s="4" t="s">
        <v>56</v>
      </c>
      <c r="C8" s="4">
        <v>8</v>
      </c>
      <c r="D8" s="4" t="s">
        <v>56</v>
      </c>
      <c r="E8" s="4" t="s">
        <v>3</v>
      </c>
      <c r="F8" s="5" t="s">
        <v>57</v>
      </c>
      <c r="G8" s="6" t="s">
        <v>64</v>
      </c>
      <c r="H8" s="4" t="s">
        <v>65</v>
      </c>
      <c r="I8" s="7">
        <v>15000</v>
      </c>
      <c r="J8" s="4" t="str">
        <f t="shared" si="0"/>
        <v>OH|2026|010004</v>
      </c>
    </row>
    <row r="9" spans="1:10" x14ac:dyDescent="0.2">
      <c r="A9" s="4" t="s">
        <v>55</v>
      </c>
      <c r="B9" s="4" t="s">
        <v>56</v>
      </c>
      <c r="C9" s="4">
        <v>9</v>
      </c>
      <c r="D9" s="4" t="s">
        <v>56</v>
      </c>
      <c r="E9" s="4" t="s">
        <v>3</v>
      </c>
      <c r="F9" s="5" t="s">
        <v>57</v>
      </c>
      <c r="G9" s="6" t="s">
        <v>66</v>
      </c>
      <c r="H9" s="4" t="s">
        <v>67</v>
      </c>
      <c r="I9" s="7">
        <v>22000</v>
      </c>
      <c r="J9" s="4" t="str">
        <f t="shared" si="0"/>
        <v>OH|2026|010005</v>
      </c>
    </row>
    <row r="10" spans="1:10" x14ac:dyDescent="0.2">
      <c r="A10" s="4" t="s">
        <v>55</v>
      </c>
      <c r="B10" s="4" t="s">
        <v>56</v>
      </c>
      <c r="C10" s="4">
        <v>10</v>
      </c>
      <c r="D10" s="4" t="s">
        <v>56</v>
      </c>
      <c r="E10" s="4" t="s">
        <v>3</v>
      </c>
      <c r="F10" s="5" t="s">
        <v>57</v>
      </c>
      <c r="G10" s="6" t="s">
        <v>68</v>
      </c>
      <c r="H10" s="4" t="s">
        <v>69</v>
      </c>
      <c r="I10" s="7">
        <v>14000</v>
      </c>
      <c r="J10" s="4" t="str">
        <f t="shared" si="0"/>
        <v>OH|2026|010006</v>
      </c>
    </row>
    <row r="11" spans="1:10" x14ac:dyDescent="0.2">
      <c r="A11" s="4" t="s">
        <v>70</v>
      </c>
      <c r="B11" s="4" t="s">
        <v>71</v>
      </c>
      <c r="C11" s="4">
        <v>5</v>
      </c>
      <c r="D11" s="4" t="s">
        <v>72</v>
      </c>
      <c r="E11" s="4" t="s">
        <v>3</v>
      </c>
      <c r="F11" s="5" t="s">
        <v>57</v>
      </c>
      <c r="G11" s="6" t="s">
        <v>58</v>
      </c>
      <c r="H11" s="4" t="s">
        <v>59</v>
      </c>
      <c r="I11" s="7">
        <v>12000</v>
      </c>
      <c r="J11" s="4" t="str">
        <f t="shared" si="0"/>
        <v>OH|2026|010001</v>
      </c>
    </row>
    <row r="12" spans="1:10" x14ac:dyDescent="0.2">
      <c r="A12" s="4" t="s">
        <v>70</v>
      </c>
      <c r="B12" s="4" t="s">
        <v>71</v>
      </c>
      <c r="C12" s="4">
        <v>6</v>
      </c>
      <c r="D12" s="4" t="s">
        <v>72</v>
      </c>
      <c r="E12" s="4" t="s">
        <v>3</v>
      </c>
      <c r="F12" s="5" t="s">
        <v>57</v>
      </c>
      <c r="G12" s="6" t="s">
        <v>60</v>
      </c>
      <c r="H12" s="4" t="s">
        <v>61</v>
      </c>
      <c r="I12" s="7">
        <v>18500</v>
      </c>
      <c r="J12" s="4" t="str">
        <f t="shared" si="0"/>
        <v>OH|2026|010002</v>
      </c>
    </row>
    <row r="13" spans="1:10" x14ac:dyDescent="0.2">
      <c r="A13" s="4" t="s">
        <v>70</v>
      </c>
      <c r="B13" s="4" t="s">
        <v>71</v>
      </c>
      <c r="C13" s="4">
        <v>7</v>
      </c>
      <c r="D13" s="4" t="s">
        <v>72</v>
      </c>
      <c r="E13" s="4" t="s">
        <v>3</v>
      </c>
      <c r="F13" s="5" t="s">
        <v>57</v>
      </c>
      <c r="G13" s="6" t="s">
        <v>62</v>
      </c>
      <c r="H13" s="4" t="s">
        <v>63</v>
      </c>
      <c r="I13" s="7">
        <v>8500</v>
      </c>
      <c r="J13" s="4" t="str">
        <f t="shared" si="0"/>
        <v>OH|2026|010003</v>
      </c>
    </row>
    <row r="14" spans="1:10" x14ac:dyDescent="0.2">
      <c r="A14" s="4" t="s">
        <v>70</v>
      </c>
      <c r="B14" s="4" t="s">
        <v>71</v>
      </c>
      <c r="C14" s="4">
        <v>8</v>
      </c>
      <c r="D14" s="4" t="s">
        <v>72</v>
      </c>
      <c r="E14" s="4" t="s">
        <v>3</v>
      </c>
      <c r="F14" s="5" t="s">
        <v>57</v>
      </c>
      <c r="G14" s="6" t="s">
        <v>64</v>
      </c>
      <c r="H14" s="4" t="s">
        <v>65</v>
      </c>
      <c r="I14" s="7">
        <v>15000</v>
      </c>
      <c r="J14" s="4" t="str">
        <f t="shared" si="0"/>
        <v>OH|2026|010004</v>
      </c>
    </row>
    <row r="15" spans="1:10" x14ac:dyDescent="0.2">
      <c r="A15" s="4" t="s">
        <v>70</v>
      </c>
      <c r="B15" s="4" t="s">
        <v>71</v>
      </c>
      <c r="C15" s="4">
        <v>9</v>
      </c>
      <c r="D15" s="4" t="s">
        <v>72</v>
      </c>
      <c r="E15" s="4" t="s">
        <v>3</v>
      </c>
      <c r="F15" s="5" t="s">
        <v>57</v>
      </c>
      <c r="G15" s="6" t="s">
        <v>66</v>
      </c>
      <c r="H15" s="4" t="s">
        <v>67</v>
      </c>
      <c r="I15" s="7">
        <v>22000</v>
      </c>
      <c r="J15" s="4" t="str">
        <f t="shared" si="0"/>
        <v>OH|2026|010005</v>
      </c>
    </row>
    <row r="16" spans="1:10" x14ac:dyDescent="0.2">
      <c r="A16" s="4" t="s">
        <v>70</v>
      </c>
      <c r="B16" s="4" t="s">
        <v>71</v>
      </c>
      <c r="C16" s="4">
        <v>10</v>
      </c>
      <c r="D16" s="4" t="s">
        <v>72</v>
      </c>
      <c r="E16" s="4" t="s">
        <v>3</v>
      </c>
      <c r="F16" s="5" t="s">
        <v>57</v>
      </c>
      <c r="G16" s="6" t="s">
        <v>73</v>
      </c>
      <c r="H16" s="4" t="s">
        <v>74</v>
      </c>
      <c r="I16" s="7">
        <v>16000</v>
      </c>
      <c r="J16" s="4" t="str">
        <f t="shared" si="0"/>
        <v>OH|2026|010007</v>
      </c>
    </row>
    <row r="17" spans="1:10" x14ac:dyDescent="0.2">
      <c r="A17" s="4" t="s">
        <v>75</v>
      </c>
      <c r="B17" s="4" t="s">
        <v>56</v>
      </c>
      <c r="C17" s="4">
        <v>5</v>
      </c>
      <c r="D17" s="4" t="s">
        <v>56</v>
      </c>
      <c r="E17" s="4" t="s">
        <v>4</v>
      </c>
      <c r="F17" s="5" t="s">
        <v>57</v>
      </c>
      <c r="G17" s="6" t="s">
        <v>76</v>
      </c>
      <c r="H17" s="4" t="s">
        <v>77</v>
      </c>
      <c r="I17" s="7">
        <v>20000</v>
      </c>
      <c r="J17" s="4" t="str">
        <f t="shared" si="0"/>
        <v>TX|2026|020001</v>
      </c>
    </row>
    <row r="18" spans="1:10" x14ac:dyDescent="0.2">
      <c r="A18" s="4" t="s">
        <v>75</v>
      </c>
      <c r="B18" s="4" t="s">
        <v>56</v>
      </c>
      <c r="C18" s="4">
        <v>6</v>
      </c>
      <c r="D18" s="4" t="s">
        <v>56</v>
      </c>
      <c r="E18" s="4" t="s">
        <v>4</v>
      </c>
      <c r="F18" s="5" t="s">
        <v>57</v>
      </c>
      <c r="G18" s="6" t="s">
        <v>78</v>
      </c>
      <c r="H18" s="4" t="s">
        <v>79</v>
      </c>
      <c r="I18" s="7">
        <v>16000</v>
      </c>
      <c r="J18" s="4" t="str">
        <f t="shared" si="0"/>
        <v>TX|2026|020002</v>
      </c>
    </row>
    <row r="19" spans="1:10" x14ac:dyDescent="0.2">
      <c r="A19" s="4" t="s">
        <v>75</v>
      </c>
      <c r="B19" s="4" t="s">
        <v>56</v>
      </c>
      <c r="C19" s="4">
        <v>7</v>
      </c>
      <c r="D19" s="4" t="s">
        <v>56</v>
      </c>
      <c r="E19" s="4" t="s">
        <v>4</v>
      </c>
      <c r="F19" s="5" t="s">
        <v>57</v>
      </c>
      <c r="G19" s="6" t="s">
        <v>80</v>
      </c>
      <c r="H19" s="4" t="s">
        <v>81</v>
      </c>
      <c r="I19" s="7">
        <v>24000</v>
      </c>
      <c r="J19" s="4" t="str">
        <f t="shared" si="0"/>
        <v>TX|2026|020003</v>
      </c>
    </row>
    <row r="20" spans="1:10" x14ac:dyDescent="0.2">
      <c r="A20" s="4" t="s">
        <v>75</v>
      </c>
      <c r="B20" s="4" t="s">
        <v>56</v>
      </c>
      <c r="C20" s="4">
        <v>8</v>
      </c>
      <c r="D20" s="4" t="s">
        <v>56</v>
      </c>
      <c r="E20" s="4" t="s">
        <v>4</v>
      </c>
      <c r="F20" s="5" t="s">
        <v>57</v>
      </c>
      <c r="G20" s="6" t="s">
        <v>82</v>
      </c>
      <c r="H20" s="4" t="s">
        <v>83</v>
      </c>
      <c r="I20" s="7">
        <v>10000</v>
      </c>
      <c r="J20" s="4" t="str">
        <f t="shared" si="0"/>
        <v>TX|2026|020004</v>
      </c>
    </row>
    <row r="21" spans="1:10" x14ac:dyDescent="0.2">
      <c r="A21" s="4" t="s">
        <v>75</v>
      </c>
      <c r="B21" s="4" t="s">
        <v>56</v>
      </c>
      <c r="C21" s="4">
        <v>9</v>
      </c>
      <c r="D21" s="4" t="s">
        <v>56</v>
      </c>
      <c r="E21" s="4" t="s">
        <v>4</v>
      </c>
      <c r="F21" s="5" t="s">
        <v>57</v>
      </c>
      <c r="G21" s="6" t="s">
        <v>84</v>
      </c>
      <c r="H21" s="4" t="s">
        <v>85</v>
      </c>
      <c r="I21" s="7">
        <v>18000</v>
      </c>
      <c r="J21" s="4" t="str">
        <f t="shared" si="0"/>
        <v>TX|2026|020005</v>
      </c>
    </row>
    <row r="22" spans="1:10" x14ac:dyDescent="0.2">
      <c r="A22" s="4" t="s">
        <v>75</v>
      </c>
      <c r="B22" s="4" t="s">
        <v>56</v>
      </c>
      <c r="C22" s="4">
        <v>10</v>
      </c>
      <c r="D22" s="4" t="s">
        <v>56</v>
      </c>
      <c r="E22" s="4" t="s">
        <v>4</v>
      </c>
      <c r="F22" s="5" t="s">
        <v>57</v>
      </c>
      <c r="G22" s="6" t="s">
        <v>86</v>
      </c>
      <c r="H22" s="4" t="s">
        <v>87</v>
      </c>
      <c r="I22" s="7">
        <v>12000</v>
      </c>
      <c r="J22" s="4" t="str">
        <f t="shared" si="0"/>
        <v>TX|2026|020006</v>
      </c>
    </row>
    <row r="23" spans="1:10" x14ac:dyDescent="0.2">
      <c r="A23" s="4" t="s">
        <v>88</v>
      </c>
      <c r="B23" s="4" t="s">
        <v>71</v>
      </c>
      <c r="C23" s="4">
        <v>5</v>
      </c>
      <c r="D23" s="4" t="s">
        <v>72</v>
      </c>
      <c r="E23" s="4" t="s">
        <v>4</v>
      </c>
      <c r="F23" s="5" t="s">
        <v>57</v>
      </c>
      <c r="G23" s="6" t="s">
        <v>76</v>
      </c>
      <c r="H23" s="4" t="s">
        <v>77</v>
      </c>
      <c r="I23" s="7">
        <v>20000</v>
      </c>
      <c r="J23" s="4" t="str">
        <f t="shared" si="0"/>
        <v>TX|2026|020001</v>
      </c>
    </row>
    <row r="24" spans="1:10" x14ac:dyDescent="0.2">
      <c r="A24" s="4" t="s">
        <v>88</v>
      </c>
      <c r="B24" s="4" t="s">
        <v>71</v>
      </c>
      <c r="C24" s="4">
        <v>6</v>
      </c>
      <c r="D24" s="4" t="s">
        <v>72</v>
      </c>
      <c r="E24" s="4" t="s">
        <v>4</v>
      </c>
      <c r="F24" s="5" t="s">
        <v>57</v>
      </c>
      <c r="G24" s="6" t="s">
        <v>78</v>
      </c>
      <c r="H24" s="4" t="s">
        <v>79</v>
      </c>
      <c r="I24" s="7">
        <v>16000</v>
      </c>
      <c r="J24" s="4" t="str">
        <f t="shared" si="0"/>
        <v>TX|2026|020002</v>
      </c>
    </row>
    <row r="25" spans="1:10" x14ac:dyDescent="0.2">
      <c r="A25" s="4" t="s">
        <v>88</v>
      </c>
      <c r="B25" s="4" t="s">
        <v>71</v>
      </c>
      <c r="C25" s="4">
        <v>7</v>
      </c>
      <c r="D25" s="4" t="s">
        <v>72</v>
      </c>
      <c r="E25" s="4" t="s">
        <v>4</v>
      </c>
      <c r="F25" s="5" t="s">
        <v>57</v>
      </c>
      <c r="G25" s="6" t="s">
        <v>80</v>
      </c>
      <c r="H25" s="4" t="s">
        <v>81</v>
      </c>
      <c r="I25" s="7">
        <v>25200</v>
      </c>
      <c r="J25" s="4" t="str">
        <f t="shared" si="0"/>
        <v>TX|2026|020003</v>
      </c>
    </row>
    <row r="26" spans="1:10" x14ac:dyDescent="0.2">
      <c r="A26" s="4" t="s">
        <v>88</v>
      </c>
      <c r="B26" s="4" t="s">
        <v>71</v>
      </c>
      <c r="C26" s="4">
        <v>8</v>
      </c>
      <c r="D26" s="4" t="s">
        <v>72</v>
      </c>
      <c r="E26" s="4" t="s">
        <v>4</v>
      </c>
      <c r="F26" s="5" t="s">
        <v>57</v>
      </c>
      <c r="G26" s="6" t="s">
        <v>82</v>
      </c>
      <c r="H26" s="4" t="s">
        <v>83</v>
      </c>
      <c r="I26" s="7">
        <v>10000</v>
      </c>
      <c r="J26" s="4" t="str">
        <f t="shared" si="0"/>
        <v>TX|2026|020004</v>
      </c>
    </row>
    <row r="27" spans="1:10" x14ac:dyDescent="0.2">
      <c r="A27" s="4" t="s">
        <v>88</v>
      </c>
      <c r="B27" s="4" t="s">
        <v>71</v>
      </c>
      <c r="C27" s="4">
        <v>9</v>
      </c>
      <c r="D27" s="4" t="s">
        <v>72</v>
      </c>
      <c r="E27" s="4" t="s">
        <v>4</v>
      </c>
      <c r="F27" s="5" t="s">
        <v>57</v>
      </c>
      <c r="G27" s="6" t="s">
        <v>84</v>
      </c>
      <c r="H27" s="4" t="s">
        <v>85</v>
      </c>
      <c r="I27" s="7">
        <v>18000</v>
      </c>
      <c r="J27" s="4" t="str">
        <f t="shared" si="0"/>
        <v>TX|2026|020005</v>
      </c>
    </row>
    <row r="28" spans="1:10" x14ac:dyDescent="0.2">
      <c r="A28" s="4" t="s">
        <v>88</v>
      </c>
      <c r="B28" s="4" t="s">
        <v>71</v>
      </c>
      <c r="C28" s="4">
        <v>10</v>
      </c>
      <c r="D28" s="4" t="s">
        <v>72</v>
      </c>
      <c r="E28" s="4" t="s">
        <v>4</v>
      </c>
      <c r="F28" s="5" t="s">
        <v>57</v>
      </c>
      <c r="G28" s="6" t="s">
        <v>86</v>
      </c>
      <c r="H28" s="4" t="s">
        <v>87</v>
      </c>
      <c r="I28" s="7">
        <v>12000</v>
      </c>
      <c r="J28" s="4" t="str">
        <f t="shared" si="0"/>
        <v>TX|2026|020006</v>
      </c>
    </row>
    <row r="30" spans="1:10" x14ac:dyDescent="0.2">
      <c r="H30" s="8" t="s">
        <v>89</v>
      </c>
      <c r="I30" s="9">
        <f>SUMIFS(I5:I28,D5:D28,"Book")</f>
        <v>190000</v>
      </c>
    </row>
    <row r="31" spans="1:10" x14ac:dyDescent="0.2">
      <c r="H31" s="8" t="s">
        <v>90</v>
      </c>
      <c r="I31" s="9">
        <f>SUMIFS(I5:I28,D5:D28,"Bill")</f>
        <v>193200</v>
      </c>
    </row>
    <row r="32" spans="1:10" x14ac:dyDescent="0.2">
      <c r="H32" s="8" t="s">
        <v>91</v>
      </c>
      <c r="I32">
        <f>COUNTA(G5:G28)</f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baseColWidth="10" defaultColWidth="8.83203125" defaultRowHeight="15" x14ac:dyDescent="0.2"/>
  <cols>
    <col min="1" max="1" width="7" customWidth="1"/>
    <col min="2" max="2" width="9" customWidth="1"/>
    <col min="3" max="3" width="12" customWidth="1"/>
    <col min="4" max="4" width="24" customWidth="1"/>
    <col min="5" max="5" width="20" customWidth="1"/>
    <col min="6" max="7" width="12" customWidth="1"/>
    <col min="8" max="8" width="14" customWidth="1"/>
    <col min="9" max="9" width="18" customWidth="1"/>
  </cols>
  <sheetData>
    <row r="1" spans="1:9" ht="16" customHeight="1" x14ac:dyDescent="0.2">
      <c r="A1" s="1" t="s">
        <v>92</v>
      </c>
    </row>
    <row r="2" spans="1:9" x14ac:dyDescent="0.2">
      <c r="A2" s="2" t="s">
        <v>93</v>
      </c>
    </row>
    <row r="4" spans="1:9" ht="30" customHeight="1" x14ac:dyDescent="0.2">
      <c r="A4" s="3" t="s">
        <v>49</v>
      </c>
      <c r="B4" s="3" t="s">
        <v>50</v>
      </c>
      <c r="C4" s="3" t="s">
        <v>51</v>
      </c>
      <c r="D4" s="3" t="s">
        <v>52</v>
      </c>
      <c r="E4" s="3" t="s">
        <v>54</v>
      </c>
      <c r="F4" s="3" t="s">
        <v>94</v>
      </c>
      <c r="G4" s="3" t="s">
        <v>95</v>
      </c>
      <c r="H4" s="3" t="s">
        <v>96</v>
      </c>
      <c r="I4" s="3" t="s">
        <v>97</v>
      </c>
    </row>
    <row r="5" spans="1:9" x14ac:dyDescent="0.2">
      <c r="A5" s="4" t="s">
        <v>3</v>
      </c>
      <c r="B5" s="5" t="s">
        <v>57</v>
      </c>
      <c r="C5" s="6" t="s">
        <v>58</v>
      </c>
      <c r="D5" s="4" t="s">
        <v>59</v>
      </c>
      <c r="E5" t="str">
        <f t="shared" ref="E5:E17" si="0">A5&amp;"|"&amp;B5&amp;"|"&amp;C5</f>
        <v>OH|2026|010001</v>
      </c>
      <c r="F5" s="9">
        <f>IF(COUNTIFS('Source data'!$J$5:$J$28,$E5,'Source data'!$D$5:$D$28,"Book")=0,"",SUMIFS('Source data'!$I$5:$I$28,'Source data'!$J$5:$J$28,$E5,'Source data'!$D$5:$D$28,"Book"))</f>
        <v>12000</v>
      </c>
      <c r="G5" s="9">
        <f>IF(COUNTIFS('Source data'!$J$5:$J$28,$E5,'Source data'!$D$5:$D$28,"Bill")=0,"",SUMIFS('Source data'!$I$5:$I$28,'Source data'!$J$5:$J$28,$E5,'Source data'!$D$5:$D$28,"Bill"))</f>
        <v>12000</v>
      </c>
      <c r="H5" s="9">
        <f t="shared" ref="H5:H17" si="1">IF(OR(F5="",G5=""),"",G5-F5)</f>
        <v>0</v>
      </c>
      <c r="I5" t="str">
        <f t="shared" ref="I5:I17" si="2">IF(F5="","Bill only",IF(G5="","Book only",IF(G5=F5,"Exact match","Amount difference")))</f>
        <v>Exact match</v>
      </c>
    </row>
    <row r="6" spans="1:9" x14ac:dyDescent="0.2">
      <c r="A6" s="4" t="s">
        <v>3</v>
      </c>
      <c r="B6" s="5" t="s">
        <v>57</v>
      </c>
      <c r="C6" s="6" t="s">
        <v>60</v>
      </c>
      <c r="D6" s="4" t="s">
        <v>61</v>
      </c>
      <c r="E6" t="str">
        <f t="shared" si="0"/>
        <v>OH|2026|010002</v>
      </c>
      <c r="F6" s="9">
        <f>IF(COUNTIFS('Source data'!$J$5:$J$28,$E6,'Source data'!$D$5:$D$28,"Book")=0,"",SUMIFS('Source data'!$I$5:$I$28,'Source data'!$J$5:$J$28,$E6,'Source data'!$D$5:$D$28,"Book"))</f>
        <v>18000</v>
      </c>
      <c r="G6" s="9">
        <f>IF(COUNTIFS('Source data'!$J$5:$J$28,$E6,'Source data'!$D$5:$D$28,"Bill")=0,"",SUMIFS('Source data'!$I$5:$I$28,'Source data'!$J$5:$J$28,$E6,'Source data'!$D$5:$D$28,"Bill"))</f>
        <v>18500</v>
      </c>
      <c r="H6" s="9">
        <f t="shared" si="1"/>
        <v>500</v>
      </c>
      <c r="I6" t="str">
        <f t="shared" si="2"/>
        <v>Amount difference</v>
      </c>
    </row>
    <row r="7" spans="1:9" x14ac:dyDescent="0.2">
      <c r="A7" s="4" t="s">
        <v>3</v>
      </c>
      <c r="B7" s="5" t="s">
        <v>57</v>
      </c>
      <c r="C7" s="6" t="s">
        <v>62</v>
      </c>
      <c r="D7" s="4" t="s">
        <v>63</v>
      </c>
      <c r="E7" t="str">
        <f t="shared" si="0"/>
        <v>OH|2026|010003</v>
      </c>
      <c r="F7" s="9">
        <f>IF(COUNTIFS('Source data'!$J$5:$J$28,$E7,'Source data'!$D$5:$D$28,"Book")=0,"",SUMIFS('Source data'!$I$5:$I$28,'Source data'!$J$5:$J$28,$E7,'Source data'!$D$5:$D$28,"Book"))</f>
        <v>9000</v>
      </c>
      <c r="G7" s="9">
        <f>IF(COUNTIFS('Source data'!$J$5:$J$28,$E7,'Source data'!$D$5:$D$28,"Bill")=0,"",SUMIFS('Source data'!$I$5:$I$28,'Source data'!$J$5:$J$28,$E7,'Source data'!$D$5:$D$28,"Bill"))</f>
        <v>8500</v>
      </c>
      <c r="H7" s="9">
        <f t="shared" si="1"/>
        <v>-500</v>
      </c>
      <c r="I7" t="str">
        <f t="shared" si="2"/>
        <v>Amount difference</v>
      </c>
    </row>
    <row r="8" spans="1:9" x14ac:dyDescent="0.2">
      <c r="A8" s="4" t="s">
        <v>3</v>
      </c>
      <c r="B8" s="5" t="s">
        <v>57</v>
      </c>
      <c r="C8" s="6" t="s">
        <v>64</v>
      </c>
      <c r="D8" s="4" t="s">
        <v>65</v>
      </c>
      <c r="E8" t="str">
        <f t="shared" si="0"/>
        <v>OH|2026|010004</v>
      </c>
      <c r="F8" s="9">
        <f>IF(COUNTIFS('Source data'!$J$5:$J$28,$E8,'Source data'!$D$5:$D$28,"Book")=0,"",SUMIFS('Source data'!$I$5:$I$28,'Source data'!$J$5:$J$28,$E8,'Source data'!$D$5:$D$28,"Book"))</f>
        <v>15000</v>
      </c>
      <c r="G8" s="9">
        <f>IF(COUNTIFS('Source data'!$J$5:$J$28,$E8,'Source data'!$D$5:$D$28,"Bill")=0,"",SUMIFS('Source data'!$I$5:$I$28,'Source data'!$J$5:$J$28,$E8,'Source data'!$D$5:$D$28,"Bill"))</f>
        <v>15000</v>
      </c>
      <c r="H8" s="9">
        <f t="shared" si="1"/>
        <v>0</v>
      </c>
      <c r="I8" t="str">
        <f t="shared" si="2"/>
        <v>Exact match</v>
      </c>
    </row>
    <row r="9" spans="1:9" x14ac:dyDescent="0.2">
      <c r="A9" s="4" t="s">
        <v>3</v>
      </c>
      <c r="B9" s="5" t="s">
        <v>57</v>
      </c>
      <c r="C9" s="6" t="s">
        <v>66</v>
      </c>
      <c r="D9" s="4" t="s">
        <v>67</v>
      </c>
      <c r="E9" t="str">
        <f t="shared" si="0"/>
        <v>OH|2026|010005</v>
      </c>
      <c r="F9" s="9">
        <f>IF(COUNTIFS('Source data'!$J$5:$J$28,$E9,'Source data'!$D$5:$D$28,"Book")=0,"",SUMIFS('Source data'!$I$5:$I$28,'Source data'!$J$5:$J$28,$E9,'Source data'!$D$5:$D$28,"Book"))</f>
        <v>22000</v>
      </c>
      <c r="G9" s="9">
        <f>IF(COUNTIFS('Source data'!$J$5:$J$28,$E9,'Source data'!$D$5:$D$28,"Bill")=0,"",SUMIFS('Source data'!$I$5:$I$28,'Source data'!$J$5:$J$28,$E9,'Source data'!$D$5:$D$28,"Bill"))</f>
        <v>22000</v>
      </c>
      <c r="H9" s="9">
        <f t="shared" si="1"/>
        <v>0</v>
      </c>
      <c r="I9" t="str">
        <f t="shared" si="2"/>
        <v>Exact match</v>
      </c>
    </row>
    <row r="10" spans="1:9" x14ac:dyDescent="0.2">
      <c r="A10" s="4" t="s">
        <v>3</v>
      </c>
      <c r="B10" s="5" t="s">
        <v>57</v>
      </c>
      <c r="C10" s="6" t="s">
        <v>68</v>
      </c>
      <c r="D10" s="4" t="s">
        <v>69</v>
      </c>
      <c r="E10" t="str">
        <f t="shared" si="0"/>
        <v>OH|2026|010006</v>
      </c>
      <c r="F10" s="9">
        <f>IF(COUNTIFS('Source data'!$J$5:$J$28,$E10,'Source data'!$D$5:$D$28,"Book")=0,"",SUMIFS('Source data'!$I$5:$I$28,'Source data'!$J$5:$J$28,$E10,'Source data'!$D$5:$D$28,"Book"))</f>
        <v>14000</v>
      </c>
      <c r="G10" s="9" t="str">
        <f>IF(COUNTIFS('Source data'!$J$5:$J$28,$E10,'Source data'!$D$5:$D$28,"Bill")=0,"",SUMIFS('Source data'!$I$5:$I$28,'Source data'!$J$5:$J$28,$E10,'Source data'!$D$5:$D$28,"Bill"))</f>
        <v/>
      </c>
      <c r="H10" s="9" t="str">
        <f t="shared" si="1"/>
        <v/>
      </c>
      <c r="I10" t="str">
        <f t="shared" si="2"/>
        <v>Book only</v>
      </c>
    </row>
    <row r="11" spans="1:9" x14ac:dyDescent="0.2">
      <c r="A11" s="4" t="s">
        <v>3</v>
      </c>
      <c r="B11" s="5" t="s">
        <v>57</v>
      </c>
      <c r="C11" s="6" t="s">
        <v>73</v>
      </c>
      <c r="D11" s="4" t="s">
        <v>74</v>
      </c>
      <c r="E11" t="str">
        <f t="shared" si="0"/>
        <v>OH|2026|010007</v>
      </c>
      <c r="F11" s="9" t="str">
        <f>IF(COUNTIFS('Source data'!$J$5:$J$28,$E11,'Source data'!$D$5:$D$28,"Book")=0,"",SUMIFS('Source data'!$I$5:$I$28,'Source data'!$J$5:$J$28,$E11,'Source data'!$D$5:$D$28,"Book"))</f>
        <v/>
      </c>
      <c r="G11" s="9">
        <f>IF(COUNTIFS('Source data'!$J$5:$J$28,$E11,'Source data'!$D$5:$D$28,"Bill")=0,"",SUMIFS('Source data'!$I$5:$I$28,'Source data'!$J$5:$J$28,$E11,'Source data'!$D$5:$D$28,"Bill"))</f>
        <v>16000</v>
      </c>
      <c r="H11" s="9" t="str">
        <f t="shared" si="1"/>
        <v/>
      </c>
      <c r="I11" t="str">
        <f t="shared" si="2"/>
        <v>Bill only</v>
      </c>
    </row>
    <row r="12" spans="1:9" x14ac:dyDescent="0.2">
      <c r="A12" s="4" t="s">
        <v>4</v>
      </c>
      <c r="B12" s="5" t="s">
        <v>57</v>
      </c>
      <c r="C12" s="6" t="s">
        <v>76</v>
      </c>
      <c r="D12" s="4" t="s">
        <v>77</v>
      </c>
      <c r="E12" t="str">
        <f t="shared" si="0"/>
        <v>TX|2026|020001</v>
      </c>
      <c r="F12" s="9">
        <f>IF(COUNTIFS('Source data'!$J$5:$J$28,$E12,'Source data'!$D$5:$D$28,"Book")=0,"",SUMIFS('Source data'!$I$5:$I$28,'Source data'!$J$5:$J$28,$E12,'Source data'!$D$5:$D$28,"Book"))</f>
        <v>20000</v>
      </c>
      <c r="G12" s="9">
        <f>IF(COUNTIFS('Source data'!$J$5:$J$28,$E12,'Source data'!$D$5:$D$28,"Bill")=0,"",SUMIFS('Source data'!$I$5:$I$28,'Source data'!$J$5:$J$28,$E12,'Source data'!$D$5:$D$28,"Bill"))</f>
        <v>20000</v>
      </c>
      <c r="H12" s="9">
        <f t="shared" si="1"/>
        <v>0</v>
      </c>
      <c r="I12" t="str">
        <f t="shared" si="2"/>
        <v>Exact match</v>
      </c>
    </row>
    <row r="13" spans="1:9" x14ac:dyDescent="0.2">
      <c r="A13" s="4" t="s">
        <v>4</v>
      </c>
      <c r="B13" s="5" t="s">
        <v>57</v>
      </c>
      <c r="C13" s="6" t="s">
        <v>78</v>
      </c>
      <c r="D13" s="4" t="s">
        <v>79</v>
      </c>
      <c r="E13" t="str">
        <f t="shared" si="0"/>
        <v>TX|2026|020002</v>
      </c>
      <c r="F13" s="9">
        <f>IF(COUNTIFS('Source data'!$J$5:$J$28,$E13,'Source data'!$D$5:$D$28,"Book")=0,"",SUMIFS('Source data'!$I$5:$I$28,'Source data'!$J$5:$J$28,$E13,'Source data'!$D$5:$D$28,"Book"))</f>
        <v>16000</v>
      </c>
      <c r="G13" s="9">
        <f>IF(COUNTIFS('Source data'!$J$5:$J$28,$E13,'Source data'!$D$5:$D$28,"Bill")=0,"",SUMIFS('Source data'!$I$5:$I$28,'Source data'!$J$5:$J$28,$E13,'Source data'!$D$5:$D$28,"Bill"))</f>
        <v>16000</v>
      </c>
      <c r="H13" s="9">
        <f t="shared" si="1"/>
        <v>0</v>
      </c>
      <c r="I13" t="str">
        <f t="shared" si="2"/>
        <v>Exact match</v>
      </c>
    </row>
    <row r="14" spans="1:9" x14ac:dyDescent="0.2">
      <c r="A14" s="4" t="s">
        <v>4</v>
      </c>
      <c r="B14" s="5" t="s">
        <v>57</v>
      </c>
      <c r="C14" s="6" t="s">
        <v>80</v>
      </c>
      <c r="D14" s="4" t="s">
        <v>81</v>
      </c>
      <c r="E14" t="str">
        <f t="shared" si="0"/>
        <v>TX|2026|020003</v>
      </c>
      <c r="F14" s="9">
        <f>IF(COUNTIFS('Source data'!$J$5:$J$28,$E14,'Source data'!$D$5:$D$28,"Book")=0,"",SUMIFS('Source data'!$I$5:$I$28,'Source data'!$J$5:$J$28,$E14,'Source data'!$D$5:$D$28,"Book"))</f>
        <v>24000</v>
      </c>
      <c r="G14" s="9">
        <f>IF(COUNTIFS('Source data'!$J$5:$J$28,$E14,'Source data'!$D$5:$D$28,"Bill")=0,"",SUMIFS('Source data'!$I$5:$I$28,'Source data'!$J$5:$J$28,$E14,'Source data'!$D$5:$D$28,"Bill"))</f>
        <v>25200</v>
      </c>
      <c r="H14" s="9">
        <f t="shared" si="1"/>
        <v>1200</v>
      </c>
      <c r="I14" t="str">
        <f t="shared" si="2"/>
        <v>Amount difference</v>
      </c>
    </row>
    <row r="15" spans="1:9" x14ac:dyDescent="0.2">
      <c r="A15" s="4" t="s">
        <v>4</v>
      </c>
      <c r="B15" s="5" t="s">
        <v>57</v>
      </c>
      <c r="C15" s="6" t="s">
        <v>82</v>
      </c>
      <c r="D15" s="4" t="s">
        <v>83</v>
      </c>
      <c r="E15" t="str">
        <f t="shared" si="0"/>
        <v>TX|2026|020004</v>
      </c>
      <c r="F15" s="9">
        <f>IF(COUNTIFS('Source data'!$J$5:$J$28,$E15,'Source data'!$D$5:$D$28,"Book")=0,"",SUMIFS('Source data'!$I$5:$I$28,'Source data'!$J$5:$J$28,$E15,'Source data'!$D$5:$D$28,"Book"))</f>
        <v>10000</v>
      </c>
      <c r="G15" s="9">
        <f>IF(COUNTIFS('Source data'!$J$5:$J$28,$E15,'Source data'!$D$5:$D$28,"Bill")=0,"",SUMIFS('Source data'!$I$5:$I$28,'Source data'!$J$5:$J$28,$E15,'Source data'!$D$5:$D$28,"Bill"))</f>
        <v>10000</v>
      </c>
      <c r="H15" s="9">
        <f t="shared" si="1"/>
        <v>0</v>
      </c>
      <c r="I15" t="str">
        <f t="shared" si="2"/>
        <v>Exact match</v>
      </c>
    </row>
    <row r="16" spans="1:9" x14ac:dyDescent="0.2">
      <c r="A16" s="4" t="s">
        <v>4</v>
      </c>
      <c r="B16" s="5" t="s">
        <v>57</v>
      </c>
      <c r="C16" s="6" t="s">
        <v>84</v>
      </c>
      <c r="D16" s="4" t="s">
        <v>85</v>
      </c>
      <c r="E16" t="str">
        <f t="shared" si="0"/>
        <v>TX|2026|020005</v>
      </c>
      <c r="F16" s="9">
        <f>IF(COUNTIFS('Source data'!$J$5:$J$28,$E16,'Source data'!$D$5:$D$28,"Book")=0,"",SUMIFS('Source data'!$I$5:$I$28,'Source data'!$J$5:$J$28,$E16,'Source data'!$D$5:$D$28,"Book"))</f>
        <v>18000</v>
      </c>
      <c r="G16" s="9">
        <f>IF(COUNTIFS('Source data'!$J$5:$J$28,$E16,'Source data'!$D$5:$D$28,"Bill")=0,"",SUMIFS('Source data'!$I$5:$I$28,'Source data'!$J$5:$J$28,$E16,'Source data'!$D$5:$D$28,"Bill"))</f>
        <v>18000</v>
      </c>
      <c r="H16" s="9">
        <f t="shared" si="1"/>
        <v>0</v>
      </c>
      <c r="I16" t="str">
        <f t="shared" si="2"/>
        <v>Exact match</v>
      </c>
    </row>
    <row r="17" spans="1:9" x14ac:dyDescent="0.2">
      <c r="A17" s="4" t="s">
        <v>4</v>
      </c>
      <c r="B17" s="5" t="s">
        <v>57</v>
      </c>
      <c r="C17" s="6" t="s">
        <v>86</v>
      </c>
      <c r="D17" s="4" t="s">
        <v>87</v>
      </c>
      <c r="E17" t="str">
        <f t="shared" si="0"/>
        <v>TX|2026|020006</v>
      </c>
      <c r="F17" s="9">
        <f>IF(COUNTIFS('Source data'!$J$5:$J$28,$E17,'Source data'!$D$5:$D$28,"Book")=0,"",SUMIFS('Source data'!$I$5:$I$28,'Source data'!$J$5:$J$28,$E17,'Source data'!$D$5:$D$28,"Book"))</f>
        <v>12000</v>
      </c>
      <c r="G17" s="9">
        <f>IF(COUNTIFS('Source data'!$J$5:$J$28,$E17,'Source data'!$D$5:$D$28,"Bill")=0,"",SUMIFS('Source data'!$I$5:$I$28,'Source data'!$J$5:$J$28,$E17,'Source data'!$D$5:$D$28,"Bill"))</f>
        <v>12000</v>
      </c>
      <c r="H17" s="9">
        <f t="shared" si="1"/>
        <v>0</v>
      </c>
      <c r="I17" t="str">
        <f t="shared" si="2"/>
        <v>Exact match</v>
      </c>
    </row>
    <row r="19" spans="1:9" x14ac:dyDescent="0.2">
      <c r="E19" s="8" t="s">
        <v>98</v>
      </c>
      <c r="F19" s="9">
        <f>SUM(F5:F17)</f>
        <v>190000</v>
      </c>
      <c r="G19" s="9">
        <f>SUM(G5:G17)</f>
        <v>193200</v>
      </c>
      <c r="H19" s="9">
        <f>SUM(H5:H17)</f>
        <v>1200</v>
      </c>
    </row>
    <row r="20" spans="1:9" x14ac:dyDescent="0.2">
      <c r="E20" s="8" t="s">
        <v>99</v>
      </c>
      <c r="F20">
        <f>COUNTA(C5:C17)</f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baseColWidth="10" defaultColWidth="8.83203125" defaultRowHeight="15" x14ac:dyDescent="0.2"/>
  <cols>
    <col min="1" max="1" width="7" customWidth="1"/>
    <col min="2" max="2" width="9" customWidth="1"/>
    <col min="3" max="3" width="12" customWidth="1"/>
    <col min="4" max="4" width="24" customWidth="1"/>
    <col min="5" max="5" width="20" customWidth="1"/>
    <col min="6" max="7" width="12" customWidth="1"/>
    <col min="8" max="8" width="14" customWidth="1"/>
    <col min="9" max="9" width="18" customWidth="1"/>
    <col min="10" max="10" width="44" customWidth="1"/>
  </cols>
  <sheetData>
    <row r="1" spans="1:10" ht="16" customHeight="1" x14ac:dyDescent="0.2">
      <c r="A1" s="1" t="s">
        <v>100</v>
      </c>
    </row>
    <row r="2" spans="1:10" x14ac:dyDescent="0.2">
      <c r="A2" s="2" t="s">
        <v>101</v>
      </c>
    </row>
    <row r="4" spans="1:10" ht="30" customHeight="1" x14ac:dyDescent="0.2">
      <c r="A4" s="3" t="s">
        <v>49</v>
      </c>
      <c r="B4" s="3" t="s">
        <v>50</v>
      </c>
      <c r="C4" s="3" t="s">
        <v>51</v>
      </c>
      <c r="D4" s="3" t="s">
        <v>52</v>
      </c>
      <c r="E4" s="3" t="s">
        <v>54</v>
      </c>
      <c r="F4" s="3" t="s">
        <v>94</v>
      </c>
      <c r="G4" s="3" t="s">
        <v>95</v>
      </c>
      <c r="H4" s="3" t="s">
        <v>96</v>
      </c>
      <c r="I4" s="3" t="s">
        <v>97</v>
      </c>
      <c r="J4" s="3" t="s">
        <v>102</v>
      </c>
    </row>
    <row r="5" spans="1:10" x14ac:dyDescent="0.2">
      <c r="A5" s="4" t="s">
        <v>3</v>
      </c>
      <c r="B5" s="5" t="s">
        <v>57</v>
      </c>
      <c r="C5" s="6" t="s">
        <v>60</v>
      </c>
      <c r="D5" s="4" t="s">
        <v>61</v>
      </c>
      <c r="E5" t="str">
        <f>A5&amp;"|"&amp;B5&amp;"|"&amp;C5</f>
        <v>OH|2026|010002</v>
      </c>
      <c r="F5" s="9">
        <f>INDEX('All properties'!$F$5:$F$17,MATCH($E5,'All properties'!$E$5:$E$17,0))</f>
        <v>18000</v>
      </c>
      <c r="G5" s="9">
        <f>INDEX('All properties'!$G$5:$G$17,MATCH($E5,'All properties'!$E$5:$E$17,0))</f>
        <v>18500</v>
      </c>
      <c r="H5" s="9">
        <f>INDEX('All properties'!$H$5:$H$17,MATCH($E5,'All properties'!$E$5:$E$17,0))</f>
        <v>500</v>
      </c>
      <c r="I5" t="str">
        <f>INDEX('All properties'!$I$5:$I$17,MATCH($E5,'All properties'!$E$5:$E$17,0))</f>
        <v>Amount difference</v>
      </c>
      <c r="J5" s="10" t="s">
        <v>103</v>
      </c>
    </row>
    <row r="6" spans="1:10" x14ac:dyDescent="0.2">
      <c r="A6" s="4" t="s">
        <v>3</v>
      </c>
      <c r="B6" s="5" t="s">
        <v>57</v>
      </c>
      <c r="C6" s="6" t="s">
        <v>62</v>
      </c>
      <c r="D6" s="4" t="s">
        <v>63</v>
      </c>
      <c r="E6" t="str">
        <f>A6&amp;"|"&amp;B6&amp;"|"&amp;C6</f>
        <v>OH|2026|010003</v>
      </c>
      <c r="F6" s="9">
        <f>INDEX('All properties'!$F$5:$F$17,MATCH($E6,'All properties'!$E$5:$E$17,0))</f>
        <v>9000</v>
      </c>
      <c r="G6" s="9">
        <f>INDEX('All properties'!$G$5:$G$17,MATCH($E6,'All properties'!$E$5:$E$17,0))</f>
        <v>8500</v>
      </c>
      <c r="H6" s="9">
        <f>INDEX('All properties'!$H$5:$H$17,MATCH($E6,'All properties'!$E$5:$E$17,0))</f>
        <v>-500</v>
      </c>
      <c r="I6" t="str">
        <f>INDEX('All properties'!$I$5:$I$17,MATCH($E6,'All properties'!$E$5:$E$17,0))</f>
        <v>Amount difference</v>
      </c>
      <c r="J6" s="10" t="s">
        <v>104</v>
      </c>
    </row>
    <row r="7" spans="1:10" x14ac:dyDescent="0.2">
      <c r="A7" s="4" t="s">
        <v>3</v>
      </c>
      <c r="B7" s="5" t="s">
        <v>57</v>
      </c>
      <c r="C7" s="6" t="s">
        <v>68</v>
      </c>
      <c r="D7" s="4" t="s">
        <v>69</v>
      </c>
      <c r="E7" t="str">
        <f>A7&amp;"|"&amp;B7&amp;"|"&amp;C7</f>
        <v>OH|2026|010006</v>
      </c>
      <c r="F7" s="9">
        <f>INDEX('All properties'!$F$5:$F$17,MATCH($E7,'All properties'!$E$5:$E$17,0))</f>
        <v>14000</v>
      </c>
      <c r="G7" s="9" t="str">
        <f>INDEX('All properties'!$G$5:$G$17,MATCH($E7,'All properties'!$E$5:$E$17,0))</f>
        <v/>
      </c>
      <c r="H7" s="9" t="str">
        <f>INDEX('All properties'!$H$5:$H$17,MATCH($E7,'All properties'!$E$5:$E$17,0))</f>
        <v/>
      </c>
      <c r="I7" t="str">
        <f>INDEX('All properties'!$I$5:$I$17,MATCH($E7,'All properties'!$E$5:$E$17,0))</f>
        <v>Book only</v>
      </c>
      <c r="J7" s="10" t="s">
        <v>105</v>
      </c>
    </row>
    <row r="8" spans="1:10" x14ac:dyDescent="0.2">
      <c r="A8" s="4" t="s">
        <v>3</v>
      </c>
      <c r="B8" s="5" t="s">
        <v>57</v>
      </c>
      <c r="C8" s="6" t="s">
        <v>73</v>
      </c>
      <c r="D8" s="4" t="s">
        <v>74</v>
      </c>
      <c r="E8" t="str">
        <f>A8&amp;"|"&amp;B8&amp;"|"&amp;C8</f>
        <v>OH|2026|010007</v>
      </c>
      <c r="F8" s="9" t="str">
        <f>INDEX('All properties'!$F$5:$F$17,MATCH($E8,'All properties'!$E$5:$E$17,0))</f>
        <v/>
      </c>
      <c r="G8" s="9">
        <f>INDEX('All properties'!$G$5:$G$17,MATCH($E8,'All properties'!$E$5:$E$17,0))</f>
        <v>16000</v>
      </c>
      <c r="H8" s="9" t="str">
        <f>INDEX('All properties'!$H$5:$H$17,MATCH($E8,'All properties'!$E$5:$E$17,0))</f>
        <v/>
      </c>
      <c r="I8" t="str">
        <f>INDEX('All properties'!$I$5:$I$17,MATCH($E8,'All properties'!$E$5:$E$17,0))</f>
        <v>Bill only</v>
      </c>
      <c r="J8" s="10" t="s">
        <v>106</v>
      </c>
    </row>
    <row r="9" spans="1:10" x14ac:dyDescent="0.2">
      <c r="A9" s="4" t="s">
        <v>4</v>
      </c>
      <c r="B9" s="5" t="s">
        <v>57</v>
      </c>
      <c r="C9" s="6" t="s">
        <v>80</v>
      </c>
      <c r="D9" s="4" t="s">
        <v>81</v>
      </c>
      <c r="E9" t="str">
        <f>A9&amp;"|"&amp;B9&amp;"|"&amp;C9</f>
        <v>TX|2026|020003</v>
      </c>
      <c r="F9" s="9">
        <f>INDEX('All properties'!$F$5:$F$17,MATCH($E9,'All properties'!$E$5:$E$17,0))</f>
        <v>24000</v>
      </c>
      <c r="G9" s="9">
        <f>INDEX('All properties'!$G$5:$G$17,MATCH($E9,'All properties'!$E$5:$E$17,0))</f>
        <v>25200</v>
      </c>
      <c r="H9" s="9">
        <f>INDEX('All properties'!$H$5:$H$17,MATCH($E9,'All properties'!$E$5:$E$17,0))</f>
        <v>1200</v>
      </c>
      <c r="I9" t="str">
        <f>INDEX('All properties'!$I$5:$I$17,MATCH($E9,'All properties'!$E$5:$E$17,0))</f>
        <v>Amount difference</v>
      </c>
      <c r="J9" s="10" t="s">
        <v>107</v>
      </c>
    </row>
    <row r="11" spans="1:10" x14ac:dyDescent="0.2">
      <c r="E11" s="8" t="s">
        <v>108</v>
      </c>
      <c r="F11">
        <f>COUNTA(C5:C9)</f>
        <v>5</v>
      </c>
    </row>
    <row r="12" spans="1:10" x14ac:dyDescent="0.2">
      <c r="E12" s="8" t="s">
        <v>109</v>
      </c>
      <c r="F12">
        <f>COUNTIF('All properties'!$I$5:$I$17,"&lt;&gt;Exact match")</f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selection activeCell="B13" sqref="B13:D13"/>
    </sheetView>
  </sheetViews>
  <sheetFormatPr baseColWidth="10" defaultColWidth="8.83203125" defaultRowHeight="15" x14ac:dyDescent="0.2"/>
  <cols>
    <col min="1" max="1" width="32" customWidth="1"/>
    <col min="2" max="4" width="12" customWidth="1"/>
    <col min="5" max="5" width="52" customWidth="1"/>
  </cols>
  <sheetData>
    <row r="1" spans="1:5" ht="16" customHeight="1" x14ac:dyDescent="0.2">
      <c r="A1" s="1" t="s">
        <v>0</v>
      </c>
    </row>
    <row r="2" spans="1:5" x14ac:dyDescent="0.2">
      <c r="A2" s="2" t="s">
        <v>1</v>
      </c>
    </row>
    <row r="4" spans="1:5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">
      <c r="A5" s="4" t="s">
        <v>7</v>
      </c>
      <c r="B5" s="4">
        <f>COUNTIFS('Source data'!$E$5:$E$28,B$4,'Source data'!$D$5:$D$28,"Book")</f>
        <v>6</v>
      </c>
      <c r="C5" s="4">
        <f>COUNTIFS('Source data'!$E$5:$E$28,C$4,'Source data'!$D$5:$D$28,"Book")</f>
        <v>6</v>
      </c>
      <c r="D5" s="4">
        <f>B5+C5</f>
        <v>12</v>
      </c>
      <c r="E5" s="10" t="s">
        <v>8</v>
      </c>
    </row>
    <row r="6" spans="1:5" x14ac:dyDescent="0.2">
      <c r="A6" s="4" t="s">
        <v>9</v>
      </c>
      <c r="B6" s="7">
        <f>SUMIFS('Source data'!$I$5:$I$28,'Source data'!$E$5:$E$28,B$4,'Source data'!$D$5:$D$28,"Book")</f>
        <v>90000</v>
      </c>
      <c r="C6" s="7">
        <f>SUMIFS('Source data'!$I$5:$I$28,'Source data'!$E$5:$E$28,C$4,'Source data'!$D$5:$D$28,"Book")</f>
        <v>100000</v>
      </c>
      <c r="D6" s="7">
        <f>B6+C6</f>
        <v>190000</v>
      </c>
      <c r="E6" s="10" t="s">
        <v>10</v>
      </c>
    </row>
    <row r="7" spans="1:5" x14ac:dyDescent="0.2">
      <c r="A7" s="4" t="s">
        <v>11</v>
      </c>
      <c r="B7" s="4">
        <f>COUNTIFS('Source data'!$E$5:$E$28,B$4,'Source data'!$D$5:$D$28,"Bill")</f>
        <v>6</v>
      </c>
      <c r="C7" s="4">
        <f>COUNTIFS('Source data'!$E$5:$E$28,C$4,'Source data'!$D$5:$D$28,"Bill")</f>
        <v>6</v>
      </c>
      <c r="D7" s="4">
        <f>B7+C7</f>
        <v>12</v>
      </c>
      <c r="E7" s="10" t="s">
        <v>12</v>
      </c>
    </row>
    <row r="8" spans="1:5" x14ac:dyDescent="0.2">
      <c r="A8" s="4" t="s">
        <v>13</v>
      </c>
      <c r="B8" s="7">
        <f>SUMIFS('Source data'!$I$5:$I$28,'Source data'!$E$5:$E$28,B$4,'Source data'!$D$5:$D$28,"Bill")</f>
        <v>92000</v>
      </c>
      <c r="C8" s="7">
        <f>SUMIFS('Source data'!$I$5:$I$28,'Source data'!$E$5:$E$28,C$4,'Source data'!$D$5:$D$28,"Bill")</f>
        <v>101200</v>
      </c>
      <c r="D8" s="7">
        <f>B8+C8</f>
        <v>193200</v>
      </c>
      <c r="E8" s="10" t="s">
        <v>14</v>
      </c>
    </row>
    <row r="9" spans="1:5" x14ac:dyDescent="0.2">
      <c r="A9" s="8" t="s">
        <v>15</v>
      </c>
      <c r="B9" s="11">
        <f>B8-B6</f>
        <v>2000</v>
      </c>
      <c r="C9" s="11">
        <f>C8-C6</f>
        <v>1200</v>
      </c>
      <c r="D9" s="11">
        <f>D8-D6</f>
        <v>3200</v>
      </c>
      <c r="E9" s="10" t="s">
        <v>16</v>
      </c>
    </row>
    <row r="11" spans="1:5" x14ac:dyDescent="0.2">
      <c r="A11" s="4" t="s">
        <v>17</v>
      </c>
      <c r="B11" s="4">
        <f>COUNTIF('All properties'!$A$5:$A$17,B$4)</f>
        <v>7</v>
      </c>
      <c r="C11" s="4">
        <f>COUNTIF('All properties'!$A$5:$A$17,C$4)</f>
        <v>6</v>
      </c>
      <c r="D11" s="4">
        <f>B11+C11</f>
        <v>13</v>
      </c>
      <c r="E11" s="10" t="s">
        <v>18</v>
      </c>
    </row>
    <row r="12" spans="1:5" x14ac:dyDescent="0.2">
      <c r="A12" s="4" t="s">
        <v>19</v>
      </c>
      <c r="B12" s="4">
        <f>COUNTIFS('All properties'!$A$5:$A$17,B$4,'All properties'!$I$5:$I$17,"Exact match")</f>
        <v>3</v>
      </c>
      <c r="C12" s="4">
        <f>COUNTIFS('All properties'!$A$5:$A$17,C$4,'All properties'!$I$5:$I$17,"Exact match")</f>
        <v>5</v>
      </c>
      <c r="D12" s="4">
        <f>B12+C12</f>
        <v>8</v>
      </c>
      <c r="E12" s="10" t="s">
        <v>20</v>
      </c>
    </row>
    <row r="13" spans="1:5" x14ac:dyDescent="0.2">
      <c r="A13" s="4" t="s">
        <v>21</v>
      </c>
      <c r="B13" s="4">
        <f>COUNTIFS('All properties'!$A$5:$A$17,B$4,'All properties'!$I$5:$I$17,"Amount difference")</f>
        <v>2</v>
      </c>
      <c r="C13" s="4">
        <f>COUNTIFS('All properties'!$A$5:$A$17,C$4,'All properties'!$I$5:$I$17,"Amount difference")</f>
        <v>1</v>
      </c>
      <c r="D13" s="4">
        <f>B13+C13</f>
        <v>3</v>
      </c>
      <c r="E13" s="10" t="s">
        <v>22</v>
      </c>
    </row>
    <row r="14" spans="1:5" x14ac:dyDescent="0.2">
      <c r="A14" s="4" t="s">
        <v>23</v>
      </c>
      <c r="B14" s="4">
        <f>COUNTIFS('All properties'!$A$5:$A$17,B$4,'All properties'!$I$5:$I$17,"Book only")</f>
        <v>1</v>
      </c>
      <c r="C14" s="4">
        <f>COUNTIFS('All properties'!$A$5:$A$17,C$4,'All properties'!$I$5:$I$17,"Book only")</f>
        <v>0</v>
      </c>
      <c r="D14" s="4">
        <f>B14+C14</f>
        <v>1</v>
      </c>
      <c r="E14" s="10" t="s">
        <v>24</v>
      </c>
    </row>
    <row r="15" spans="1:5" x14ac:dyDescent="0.2">
      <c r="A15" s="4" t="s">
        <v>25</v>
      </c>
      <c r="B15" s="4">
        <f>COUNTIFS('All properties'!$A$5:$A$17,B$4,'All properties'!$I$5:$I$17,"Bill only")</f>
        <v>1</v>
      </c>
      <c r="C15" s="4">
        <f>COUNTIFS('All properties'!$A$5:$A$17,C$4,'All properties'!$I$5:$I$17,"Bill only")</f>
        <v>0</v>
      </c>
      <c r="D15" s="4">
        <f>B15+C15</f>
        <v>1</v>
      </c>
      <c r="E15" s="10" t="s">
        <v>26</v>
      </c>
    </row>
    <row r="17" spans="1:5" x14ac:dyDescent="0.2">
      <c r="A17" s="4" t="s">
        <v>27</v>
      </c>
      <c r="B17" s="7">
        <f>SUMIFS('All properties'!$H$5:$H$17,'All properties'!$A$5:$A$17,B$4,'All properties'!$H$5:$H$17,"&gt;0")</f>
        <v>500</v>
      </c>
      <c r="C17" s="7">
        <f>SUMIFS('All properties'!$H$5:$H$17,'All properties'!$A$5:$A$17,C$4,'All properties'!$H$5:$H$17,"&gt;0")</f>
        <v>1200</v>
      </c>
      <c r="D17" s="7">
        <f>B17+C17</f>
        <v>1700</v>
      </c>
      <c r="E17" s="10" t="s">
        <v>28</v>
      </c>
    </row>
    <row r="18" spans="1:5" x14ac:dyDescent="0.2">
      <c r="A18" s="4" t="s">
        <v>29</v>
      </c>
      <c r="B18" s="7">
        <f>SUMIFS('All properties'!$H$5:$H$17,'All properties'!$A$5:$A$17,B$4,'All properties'!$H$5:$H$17,"&lt;0")</f>
        <v>-500</v>
      </c>
      <c r="C18" s="7">
        <f>SUMIFS('All properties'!$H$5:$H$17,'All properties'!$A$5:$A$17,C$4,'All properties'!$H$5:$H$17,"&lt;0")</f>
        <v>0</v>
      </c>
      <c r="D18" s="7">
        <f>B18+C18</f>
        <v>-500</v>
      </c>
      <c r="E18" s="10" t="s">
        <v>30</v>
      </c>
    </row>
    <row r="19" spans="1:5" x14ac:dyDescent="0.2">
      <c r="A19" s="8" t="s">
        <v>31</v>
      </c>
      <c r="B19" s="11">
        <f>B17+B18</f>
        <v>0</v>
      </c>
      <c r="C19" s="11">
        <f>C17+C18</f>
        <v>1200</v>
      </c>
      <c r="D19" s="11">
        <f>D17+D18</f>
        <v>1200</v>
      </c>
      <c r="E19" s="10" t="s">
        <v>32</v>
      </c>
    </row>
    <row r="20" spans="1:5" x14ac:dyDescent="0.2">
      <c r="A20" s="8" t="s">
        <v>33</v>
      </c>
      <c r="B20" s="11">
        <f>B17-B18</f>
        <v>1000</v>
      </c>
      <c r="C20" s="11">
        <f>C17-C18</f>
        <v>1200</v>
      </c>
      <c r="D20" s="11">
        <f>D17-D18</f>
        <v>2200</v>
      </c>
      <c r="E20" s="10" t="s">
        <v>34</v>
      </c>
    </row>
    <row r="21" spans="1:5" x14ac:dyDescent="0.2">
      <c r="A21" s="4" t="s">
        <v>35</v>
      </c>
      <c r="B21" s="7">
        <f>SUMIFS('All properties'!$F$5:$F$17,'All properties'!$A$5:$A$17,B$4,'All properties'!$I$5:$I$17,"Book only")</f>
        <v>14000</v>
      </c>
      <c r="C21" s="7">
        <f>SUMIFS('All properties'!$F$5:$F$17,'All properties'!$A$5:$A$17,C$4,'All properties'!$I$5:$I$17,"Book only")</f>
        <v>0</v>
      </c>
      <c r="D21" s="7">
        <f>B21+C21</f>
        <v>14000</v>
      </c>
      <c r="E21" s="10" t="s">
        <v>36</v>
      </c>
    </row>
    <row r="22" spans="1:5" x14ac:dyDescent="0.2">
      <c r="A22" s="4" t="s">
        <v>37</v>
      </c>
      <c r="B22" s="7">
        <f>SUMIFS('All properties'!$G$5:$G$17,'All properties'!$A$5:$A$17,B$4,'All properties'!$I$5:$I$17,"Bill only")</f>
        <v>16000</v>
      </c>
      <c r="C22" s="7">
        <f>SUMIFS('All properties'!$G$5:$G$17,'All properties'!$A$5:$A$17,C$4,'All properties'!$I$5:$I$17,"Bill only")</f>
        <v>0</v>
      </c>
      <c r="D22" s="7">
        <f>B22+C22</f>
        <v>16000</v>
      </c>
      <c r="E22" s="10" t="s">
        <v>38</v>
      </c>
    </row>
    <row r="23" spans="1:5" x14ac:dyDescent="0.2">
      <c r="A23" s="8" t="s">
        <v>39</v>
      </c>
      <c r="B23" s="11">
        <f>B19+B22-B21</f>
        <v>2000</v>
      </c>
      <c r="C23" s="11">
        <f>C19+C22-C21</f>
        <v>1200</v>
      </c>
      <c r="D23" s="11">
        <f>D19+D22-D21</f>
        <v>3200</v>
      </c>
      <c r="E23" s="10" t="s">
        <v>40</v>
      </c>
    </row>
    <row r="24" spans="1:5" x14ac:dyDescent="0.2">
      <c r="A24" s="8" t="s">
        <v>41</v>
      </c>
      <c r="B24" s="11">
        <f>B23-B9</f>
        <v>0</v>
      </c>
      <c r="C24" s="11">
        <f>C23-C9</f>
        <v>0</v>
      </c>
      <c r="D24" s="11">
        <f>D23-D9</f>
        <v>0</v>
      </c>
      <c r="E24" s="10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tabSelected="1" workbookViewId="0"/>
  </sheetViews>
  <sheetFormatPr baseColWidth="10" defaultColWidth="8.83203125" defaultRowHeight="15" x14ac:dyDescent="0.2"/>
  <cols>
    <col min="1" max="1" width="48" customWidth="1"/>
    <col min="2" max="3" width="16" customWidth="1"/>
    <col min="4" max="4" width="9" customWidth="1"/>
    <col min="5" max="5" width="70" customWidth="1"/>
  </cols>
  <sheetData>
    <row r="1" spans="1:5" ht="16" customHeight="1" x14ac:dyDescent="0.2">
      <c r="A1" s="1" t="s">
        <v>110</v>
      </c>
    </row>
    <row r="2" spans="1:5" x14ac:dyDescent="0.2">
      <c r="A2" s="2" t="s">
        <v>111</v>
      </c>
    </row>
    <row r="4" spans="1:5" x14ac:dyDescent="0.2">
      <c r="A4" s="3" t="s">
        <v>112</v>
      </c>
      <c r="B4" s="3" t="s">
        <v>113</v>
      </c>
      <c r="C4" s="3" t="s">
        <v>114</v>
      </c>
      <c r="D4" s="3" t="s">
        <v>115</v>
      </c>
      <c r="E4" s="3" t="s">
        <v>116</v>
      </c>
    </row>
    <row r="5" spans="1:5" x14ac:dyDescent="0.2">
      <c r="A5" s="4" t="s">
        <v>117</v>
      </c>
      <c r="B5">
        <f>'Source data'!I32</f>
        <v>24</v>
      </c>
      <c r="C5" s="12">
        <v>24</v>
      </c>
      <c r="D5" s="8" t="str">
        <f t="shared" ref="D5:D16" si="0">IF(ROUND(B5-C5,2)=0,"OK","CHECK")</f>
        <v>OK</v>
      </c>
      <c r="E5" s="10" t="s">
        <v>118</v>
      </c>
    </row>
    <row r="6" spans="1:5" x14ac:dyDescent="0.2">
      <c r="A6" s="4" t="s">
        <v>119</v>
      </c>
      <c r="B6" s="9">
        <f>SUMIFS('Source data'!$I$5:$I$28,'Source data'!$A$5:$A$28,"OH-book.xlsx")</f>
        <v>90000</v>
      </c>
      <c r="C6" s="13">
        <v>90000</v>
      </c>
      <c r="D6" s="8" t="str">
        <f t="shared" si="0"/>
        <v>OK</v>
      </c>
      <c r="E6" s="10" t="s">
        <v>120</v>
      </c>
    </row>
    <row r="7" spans="1:5" x14ac:dyDescent="0.2">
      <c r="A7" s="4" t="s">
        <v>121</v>
      </c>
      <c r="B7" s="9">
        <f>SUMIFS('Source data'!$I$5:$I$28,'Source data'!$A$5:$A$28,"OH-bills.xlsx")</f>
        <v>92000</v>
      </c>
      <c r="C7" s="13">
        <v>92000</v>
      </c>
      <c r="D7" s="8" t="str">
        <f t="shared" si="0"/>
        <v>OK</v>
      </c>
      <c r="E7" s="10" t="s">
        <v>122</v>
      </c>
    </row>
    <row r="8" spans="1:5" x14ac:dyDescent="0.2">
      <c r="A8" s="4" t="s">
        <v>123</v>
      </c>
      <c r="B8" s="9">
        <f>SUMIFS('Source data'!$I$5:$I$28,'Source data'!$A$5:$A$28,"TX-book.xlsx")</f>
        <v>100000</v>
      </c>
      <c r="C8" s="13">
        <v>100000</v>
      </c>
      <c r="D8" s="8" t="str">
        <f t="shared" si="0"/>
        <v>OK</v>
      </c>
      <c r="E8" s="10" t="s">
        <v>124</v>
      </c>
    </row>
    <row r="9" spans="1:5" x14ac:dyDescent="0.2">
      <c r="A9" s="4" t="s">
        <v>125</v>
      </c>
      <c r="B9" s="9">
        <f>SUMIFS('Source data'!$I$5:$I$28,'Source data'!$A$5:$A$28,"TX-bills.xlsx")</f>
        <v>101200</v>
      </c>
      <c r="C9" s="13">
        <v>101200</v>
      </c>
      <c r="D9" s="8" t="str">
        <f t="shared" si="0"/>
        <v>OK</v>
      </c>
      <c r="E9" s="10" t="s">
        <v>126</v>
      </c>
    </row>
    <row r="10" spans="1:5" x14ac:dyDescent="0.2">
      <c r="A10" s="4" t="s">
        <v>127</v>
      </c>
      <c r="B10" s="9">
        <f>'Source data'!I30</f>
        <v>190000</v>
      </c>
      <c r="C10" s="7">
        <f>'All properties'!F19</f>
        <v>190000</v>
      </c>
      <c r="D10" s="8" t="str">
        <f t="shared" si="0"/>
        <v>OK</v>
      </c>
      <c r="E10" s="10" t="s">
        <v>128</v>
      </c>
    </row>
    <row r="11" spans="1:5" x14ac:dyDescent="0.2">
      <c r="A11" s="4" t="s">
        <v>129</v>
      </c>
      <c r="B11" s="9">
        <f>'Source data'!I31</f>
        <v>193200</v>
      </c>
      <c r="C11" s="7">
        <f>'All properties'!G19</f>
        <v>193200</v>
      </c>
      <c r="D11" s="8" t="str">
        <f t="shared" si="0"/>
        <v>OK</v>
      </c>
      <c r="E11" s="10" t="s">
        <v>130</v>
      </c>
    </row>
    <row r="12" spans="1:5" x14ac:dyDescent="0.2">
      <c r="A12" s="4" t="s">
        <v>131</v>
      </c>
      <c r="B12">
        <f>'State totals'!D11</f>
        <v>13</v>
      </c>
      <c r="C12" s="4">
        <f>'State totals'!D12+'State totals'!D13+'State totals'!D14+'State totals'!D15</f>
        <v>13</v>
      </c>
      <c r="D12" s="8" t="str">
        <f t="shared" si="0"/>
        <v>OK</v>
      </c>
      <c r="E12" s="10" t="s">
        <v>132</v>
      </c>
    </row>
    <row r="13" spans="1:5" x14ac:dyDescent="0.2">
      <c r="A13" s="4" t="s">
        <v>133</v>
      </c>
      <c r="B13">
        <f>Exceptions!F11</f>
        <v>5</v>
      </c>
      <c r="C13" s="4">
        <f>Exceptions!F12</f>
        <v>5</v>
      </c>
      <c r="D13" s="8" t="str">
        <f t="shared" si="0"/>
        <v>OK</v>
      </c>
      <c r="E13" s="10" t="s">
        <v>134</v>
      </c>
    </row>
    <row r="14" spans="1:5" x14ac:dyDescent="0.2">
      <c r="A14" s="4" t="s">
        <v>135</v>
      </c>
      <c r="B14">
        <f>SUMPRODUCT((COUNTIFS('Source data'!$J$5:$J$28,'Source data'!$J$5:$J$28,'Source data'!$D$5:$D$28,'Source data'!$D$5:$D$28)&gt;1)*1)</f>
        <v>0</v>
      </c>
      <c r="C14" s="12">
        <v>0</v>
      </c>
      <c r="D14" s="8" t="str">
        <f t="shared" si="0"/>
        <v>OK</v>
      </c>
      <c r="E14" s="10" t="s">
        <v>136</v>
      </c>
    </row>
    <row r="15" spans="1:5" x14ac:dyDescent="0.2">
      <c r="A15" s="4" t="s">
        <v>137</v>
      </c>
      <c r="B15" s="9">
        <f>'All properties'!H19</f>
        <v>1200</v>
      </c>
      <c r="C15" s="7">
        <f>'State totals'!D19</f>
        <v>1200</v>
      </c>
      <c r="D15" s="8" t="str">
        <f t="shared" si="0"/>
        <v>OK</v>
      </c>
      <c r="E15" s="10" t="s">
        <v>138</v>
      </c>
    </row>
    <row r="16" spans="1:5" x14ac:dyDescent="0.2">
      <c r="A16" s="4" t="s">
        <v>41</v>
      </c>
      <c r="B16" s="9">
        <f>'State totals'!D24</f>
        <v>0</v>
      </c>
      <c r="C16" s="13">
        <v>0</v>
      </c>
      <c r="D16" s="8" t="str">
        <f t="shared" si="0"/>
        <v>OK</v>
      </c>
      <c r="E16" s="10" t="s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58" customWidth="1"/>
    <col min="3" max="3" width="40" customWidth="1"/>
    <col min="4" max="4" width="13" customWidth="1"/>
    <col min="5" max="5" width="12" customWidth="1"/>
  </cols>
  <sheetData>
    <row r="1" spans="1:5" ht="16" x14ac:dyDescent="0.2">
      <c r="A1" s="14" t="s">
        <v>140</v>
      </c>
    </row>
    <row r="2" spans="1:5" ht="32" customHeight="1" x14ac:dyDescent="0.2">
      <c r="A2" s="18" t="s">
        <v>141</v>
      </c>
      <c r="B2" s="19"/>
      <c r="C2" s="19"/>
      <c r="D2" s="19"/>
      <c r="E2" s="19"/>
    </row>
    <row r="4" spans="1:5" ht="16" x14ac:dyDescent="0.2">
      <c r="A4" s="16" t="s">
        <v>142</v>
      </c>
      <c r="B4" s="16" t="s">
        <v>143</v>
      </c>
      <c r="C4" s="16" t="s">
        <v>144</v>
      </c>
      <c r="D4" s="16" t="s">
        <v>145</v>
      </c>
      <c r="E4" s="16" t="s">
        <v>146</v>
      </c>
    </row>
    <row r="5" spans="1:5" ht="92" customHeight="1" x14ac:dyDescent="0.2">
      <c r="A5" s="15" t="s">
        <v>147</v>
      </c>
      <c r="B5" s="15" t="s">
        <v>148</v>
      </c>
      <c r="C5" s="15" t="s">
        <v>149</v>
      </c>
      <c r="D5" s="15" t="s">
        <v>150</v>
      </c>
      <c r="E5" s="17">
        <v>46271</v>
      </c>
    </row>
    <row r="6" spans="1:5" ht="92" customHeight="1" x14ac:dyDescent="0.2">
      <c r="A6" s="15" t="s">
        <v>151</v>
      </c>
      <c r="B6" s="15" t="s">
        <v>152</v>
      </c>
      <c r="C6" s="15" t="s">
        <v>153</v>
      </c>
      <c r="D6" s="15" t="s">
        <v>150</v>
      </c>
      <c r="E6" s="17">
        <v>46271</v>
      </c>
    </row>
    <row r="7" spans="1:5" ht="92" customHeight="1" x14ac:dyDescent="0.2">
      <c r="A7" s="15" t="s">
        <v>154</v>
      </c>
      <c r="B7" s="15" t="s">
        <v>155</v>
      </c>
      <c r="C7" s="15" t="s">
        <v>156</v>
      </c>
      <c r="D7" s="15" t="s">
        <v>150</v>
      </c>
      <c r="E7" s="17">
        <v>46271</v>
      </c>
    </row>
    <row r="9" spans="1:5" ht="48" customHeight="1" x14ac:dyDescent="0.2">
      <c r="A9" s="18" t="s">
        <v>157</v>
      </c>
      <c r="B9" s="19"/>
      <c r="C9" s="19"/>
      <c r="D9" s="19"/>
      <c r="E9" s="19"/>
    </row>
  </sheetData>
  <mergeCells count="2">
    <mergeCell ref="A2:E2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data</vt:lpstr>
      <vt:lpstr>All properties</vt:lpstr>
      <vt:lpstr>Exceptions</vt:lpstr>
      <vt:lpstr>State totals</vt:lpstr>
      <vt:lpstr>Checks</vt:lpstr>
      <vt:lpstr>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Office course</dc:creator>
  <ns0:lastModifiedBy>Office course</ns0:lastModifiedBy>
  <ns2:created xsi:type="dcterms:W3CDTF">2026-09-06T21:26:21Z</ns2:created>
  <ns2:modified xsi:type="dcterms:W3CDTF">2026-09-06T22:13:09Z</ns2:modified>
</ns0:coreProperties>
</file>